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ael\Desktop\bots\AMCS\bots_previsions\semaine_postes\V1\"/>
    </mc:Choice>
  </mc:AlternateContent>
  <xr:revisionPtr revIDLastSave="0" documentId="13_ncr:1_{C078E949-BD18-48C3-80F8-8F2B7B0F24AC}" xr6:coauthVersionLast="47" xr6:coauthVersionMax="47" xr10:uidLastSave="{00000000-0000-0000-0000-000000000000}"/>
  <bookViews>
    <workbookView xWindow="-108" yWindow="-108" windowWidth="23256" windowHeight="12456" tabRatio="437" activeTab="1" xr2:uid="{00000000-000D-0000-FFFF-FFFF00000000}"/>
  </bookViews>
  <sheets>
    <sheet name="Resultats" sheetId="1" r:id="rId1"/>
    <sheet name="Details" sheetId="2" r:id="rId2"/>
    <sheet name="Feuil1" sheetId="3" r:id="rId3"/>
  </sheets>
  <definedNames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7" i="1" l="1"/>
  <c r="P26" i="1"/>
  <c r="Q26" i="1" s="1"/>
  <c r="K25" i="1"/>
  <c r="K32" i="1" s="1"/>
  <c r="J25" i="1"/>
  <c r="U17" i="1"/>
  <c r="T17" i="1"/>
  <c r="S17" i="1"/>
  <c r="S16" i="1" s="1"/>
  <c r="R17" i="1"/>
  <c r="R16" i="1" s="1"/>
  <c r="Q17" i="1"/>
  <c r="Q16" i="1" s="1"/>
  <c r="P17" i="1"/>
  <c r="P16" i="1" s="1"/>
  <c r="O17" i="1"/>
  <c r="N17" i="1"/>
  <c r="M17" i="1"/>
  <c r="M16" i="1" s="1"/>
  <c r="L17" i="1"/>
  <c r="K17" i="1"/>
  <c r="J17" i="1"/>
  <c r="I17" i="1"/>
  <c r="H17" i="1"/>
  <c r="G17" i="1"/>
  <c r="G16" i="1" s="1"/>
  <c r="F17" i="1"/>
  <c r="F16" i="1" s="1"/>
  <c r="E17" i="1"/>
  <c r="E16" i="1" s="1"/>
  <c r="D17" i="1"/>
  <c r="D16" i="1" s="1"/>
  <c r="C17" i="1"/>
  <c r="B17" i="1"/>
  <c r="U16" i="1"/>
  <c r="T16" i="1"/>
  <c r="O16" i="1"/>
  <c r="N16" i="1"/>
  <c r="L16" i="1"/>
  <c r="K16" i="1"/>
  <c r="J16" i="1"/>
  <c r="I16" i="1"/>
  <c r="H16" i="1"/>
  <c r="C16" i="1"/>
  <c r="B16" i="1"/>
  <c r="K27" i="1" s="1"/>
  <c r="K34" i="1" s="1"/>
  <c r="U15" i="1"/>
  <c r="T15" i="1"/>
  <c r="S15" i="1"/>
  <c r="R15" i="1"/>
  <c r="Q15" i="1"/>
  <c r="P15" i="1"/>
  <c r="O15" i="1"/>
  <c r="N15" i="1"/>
  <c r="M15" i="1"/>
  <c r="L15" i="1"/>
  <c r="K15" i="1"/>
  <c r="K13" i="1" s="1"/>
  <c r="J15" i="1"/>
  <c r="J13" i="1" s="1"/>
  <c r="I15" i="1"/>
  <c r="H15" i="1"/>
  <c r="G15" i="1"/>
  <c r="F15" i="1"/>
  <c r="E15" i="1"/>
  <c r="D15" i="1"/>
  <c r="D13" i="1" s="1"/>
  <c r="C15" i="1"/>
  <c r="B15" i="1"/>
  <c r="U14" i="1"/>
  <c r="T14" i="1"/>
  <c r="T13" i="1" s="1"/>
  <c r="S14" i="1"/>
  <c r="S13" i="1" s="1"/>
  <c r="R14" i="1"/>
  <c r="R13" i="1" s="1"/>
  <c r="Q14" i="1"/>
  <c r="P14" i="1"/>
  <c r="O14" i="1"/>
  <c r="N14" i="1"/>
  <c r="M14" i="1"/>
  <c r="L14" i="1"/>
  <c r="K14" i="1"/>
  <c r="J14" i="1"/>
  <c r="I14" i="1"/>
  <c r="H14" i="1"/>
  <c r="H13" i="1" s="1"/>
  <c r="G14" i="1"/>
  <c r="G13" i="1" s="1"/>
  <c r="F14" i="1"/>
  <c r="F13" i="1" s="1"/>
  <c r="E14" i="1"/>
  <c r="D14" i="1"/>
  <c r="C14" i="1"/>
  <c r="B14" i="1"/>
  <c r="U13" i="1"/>
  <c r="P13" i="1"/>
  <c r="O13" i="1"/>
  <c r="N13" i="1"/>
  <c r="M13" i="1"/>
  <c r="L13" i="1"/>
  <c r="I13" i="1"/>
  <c r="C13" i="1"/>
  <c r="B13" i="1"/>
  <c r="U12" i="1"/>
  <c r="T12" i="1"/>
  <c r="S12" i="1"/>
  <c r="R12" i="1"/>
  <c r="Q12" i="1"/>
  <c r="P12" i="1"/>
  <c r="O12" i="1"/>
  <c r="N12" i="1"/>
  <c r="M12" i="1"/>
  <c r="L12" i="1"/>
  <c r="K12" i="1"/>
  <c r="K10" i="1" s="1"/>
  <c r="J12" i="1"/>
  <c r="J10" i="1" s="1"/>
  <c r="I12" i="1"/>
  <c r="I10" i="1" s="1"/>
  <c r="H12" i="1"/>
  <c r="H10" i="1" s="1"/>
  <c r="G12" i="1"/>
  <c r="F12" i="1"/>
  <c r="E12" i="1"/>
  <c r="D12" i="1"/>
  <c r="C12" i="1"/>
  <c r="B12" i="1"/>
  <c r="U11" i="1"/>
  <c r="T11" i="1"/>
  <c r="S11" i="1"/>
  <c r="S10" i="1" s="1"/>
  <c r="R11" i="1"/>
  <c r="R10" i="1" s="1"/>
  <c r="Q11" i="1"/>
  <c r="P11" i="1"/>
  <c r="O11" i="1"/>
  <c r="N11" i="1"/>
  <c r="M11" i="1"/>
  <c r="M10" i="1" s="1"/>
  <c r="L11" i="1"/>
  <c r="L10" i="1" s="1"/>
  <c r="K11" i="1"/>
  <c r="J11" i="1"/>
  <c r="I11" i="1"/>
  <c r="H11" i="1"/>
  <c r="G11" i="1"/>
  <c r="G10" i="1" s="1"/>
  <c r="F11" i="1"/>
  <c r="F10" i="1" s="1"/>
  <c r="E11" i="1"/>
  <c r="D11" i="1"/>
  <c r="D10" i="1" s="1"/>
  <c r="C11" i="1"/>
  <c r="B11" i="1"/>
  <c r="U10" i="1"/>
  <c r="T10" i="1"/>
  <c r="P10" i="1"/>
  <c r="O10" i="1"/>
  <c r="N10" i="1"/>
  <c r="C10" i="1"/>
  <c r="B10" i="1"/>
  <c r="U9" i="1"/>
  <c r="U7" i="1" s="1"/>
  <c r="T9" i="1"/>
  <c r="S9" i="1"/>
  <c r="R9" i="1"/>
  <c r="Q9" i="1"/>
  <c r="P9" i="1"/>
  <c r="O9" i="1"/>
  <c r="N9" i="1"/>
  <c r="M9" i="1"/>
  <c r="L9" i="1"/>
  <c r="K9" i="1"/>
  <c r="K7" i="1" s="1"/>
  <c r="J9" i="1"/>
  <c r="J7" i="1" s="1"/>
  <c r="I9" i="1"/>
  <c r="I7" i="1" s="1"/>
  <c r="H9" i="1"/>
  <c r="H7" i="1" s="1"/>
  <c r="G9" i="1"/>
  <c r="F9" i="1"/>
  <c r="E9" i="1"/>
  <c r="D9" i="1"/>
  <c r="C9" i="1"/>
  <c r="B9" i="1"/>
  <c r="U8" i="1"/>
  <c r="T8" i="1"/>
  <c r="T7" i="1" s="1"/>
  <c r="S8" i="1"/>
  <c r="S7" i="1" s="1"/>
  <c r="R8" i="1"/>
  <c r="R7" i="1" s="1"/>
  <c r="Q8" i="1"/>
  <c r="Q7" i="1" s="1"/>
  <c r="P8" i="1"/>
  <c r="P7" i="1" s="1"/>
  <c r="O8" i="1"/>
  <c r="N8" i="1"/>
  <c r="M8" i="1"/>
  <c r="L8" i="1"/>
  <c r="K8" i="1"/>
  <c r="J8" i="1"/>
  <c r="I8" i="1"/>
  <c r="H8" i="1"/>
  <c r="G8" i="1"/>
  <c r="G7" i="1" s="1"/>
  <c r="F8" i="1"/>
  <c r="F7" i="1" s="1"/>
  <c r="E8" i="1"/>
  <c r="E7" i="1" s="1"/>
  <c r="D8" i="1"/>
  <c r="D7" i="1" s="1"/>
  <c r="C8" i="1"/>
  <c r="B8" i="1"/>
  <c r="O7" i="1"/>
  <c r="N7" i="1"/>
  <c r="M7" i="1"/>
  <c r="L7" i="1"/>
  <c r="C7" i="1"/>
  <c r="B7" i="1"/>
  <c r="U6" i="1"/>
  <c r="T6" i="1"/>
  <c r="S6" i="1"/>
  <c r="R6" i="1"/>
  <c r="Q6" i="1"/>
  <c r="P6" i="1"/>
  <c r="O6" i="1"/>
  <c r="N6" i="1"/>
  <c r="M6" i="1"/>
  <c r="L6" i="1"/>
  <c r="K6" i="1"/>
  <c r="K4" i="1" s="1"/>
  <c r="J6" i="1"/>
  <c r="J4" i="1" s="1"/>
  <c r="J19" i="1" s="1"/>
  <c r="I6" i="1"/>
  <c r="H6" i="1"/>
  <c r="G6" i="1"/>
  <c r="F6" i="1"/>
  <c r="E6" i="1"/>
  <c r="D6" i="1"/>
  <c r="D4" i="1" s="1"/>
  <c r="C6" i="1"/>
  <c r="B6" i="1"/>
  <c r="U5" i="1"/>
  <c r="T5" i="1"/>
  <c r="T4" i="1" s="1"/>
  <c r="S5" i="1"/>
  <c r="S4" i="1" s="1"/>
  <c r="S19" i="1" s="1"/>
  <c r="R5" i="1"/>
  <c r="R4" i="1" s="1"/>
  <c r="Q5" i="1"/>
  <c r="P5" i="1"/>
  <c r="O5" i="1"/>
  <c r="N5" i="1"/>
  <c r="M5" i="1"/>
  <c r="L5" i="1"/>
  <c r="K5" i="1"/>
  <c r="J5" i="1"/>
  <c r="I5" i="1"/>
  <c r="H5" i="1"/>
  <c r="H4" i="1" s="1"/>
  <c r="G5" i="1"/>
  <c r="G4" i="1" s="1"/>
  <c r="F5" i="1"/>
  <c r="F4" i="1" s="1"/>
  <c r="E5" i="1"/>
  <c r="D5" i="1"/>
  <c r="C5" i="1"/>
  <c r="B5" i="1"/>
  <c r="U4" i="1"/>
  <c r="P4" i="1"/>
  <c r="O4" i="1"/>
  <c r="N4" i="1"/>
  <c r="M4" i="1"/>
  <c r="L4" i="1"/>
  <c r="I4" i="1"/>
  <c r="C4" i="1"/>
  <c r="B4" i="1"/>
  <c r="U24" i="1" l="1"/>
  <c r="U31" i="1" s="1"/>
  <c r="T24" i="1"/>
  <c r="T23" i="1"/>
  <c r="U23" i="1" s="1"/>
  <c r="U30" i="1" s="1"/>
  <c r="T19" i="1"/>
  <c r="K24" i="1"/>
  <c r="K31" i="1" s="1"/>
  <c r="Q25" i="1"/>
  <c r="Q32" i="1" s="1"/>
  <c r="I26" i="1"/>
  <c r="I33" i="1" s="1"/>
  <c r="H26" i="1"/>
  <c r="L25" i="1"/>
  <c r="M25" i="1" s="1"/>
  <c r="M32" i="1" s="1"/>
  <c r="D25" i="1"/>
  <c r="E25" i="1" s="1"/>
  <c r="E32" i="1" s="1"/>
  <c r="E56" i="1" s="1"/>
  <c r="D27" i="1"/>
  <c r="E27" i="1" s="1"/>
  <c r="E34" i="1" s="1"/>
  <c r="T26" i="1"/>
  <c r="U26" i="1" s="1"/>
  <c r="U33" i="1" s="1"/>
  <c r="H23" i="1"/>
  <c r="I23" i="1" s="1"/>
  <c r="I30" i="1" s="1"/>
  <c r="H19" i="1"/>
  <c r="D26" i="1"/>
  <c r="E26" i="1" s="1"/>
  <c r="E33" i="1" s="1"/>
  <c r="D19" i="1"/>
  <c r="D23" i="1"/>
  <c r="E23" i="1"/>
  <c r="H25" i="1"/>
  <c r="I25" i="1" s="1"/>
  <c r="I32" i="1" s="1"/>
  <c r="D24" i="1"/>
  <c r="E24" i="1" s="1"/>
  <c r="E31" i="1" s="1"/>
  <c r="P19" i="1"/>
  <c r="P24" i="1"/>
  <c r="Q24" i="1" s="1"/>
  <c r="Q31" i="1" s="1"/>
  <c r="I24" i="1"/>
  <c r="I31" i="1" s="1"/>
  <c r="O55" i="1" s="1"/>
  <c r="H24" i="1"/>
  <c r="F23" i="1"/>
  <c r="G23" i="1" s="1"/>
  <c r="G30" i="1" s="1"/>
  <c r="F19" i="1"/>
  <c r="F26" i="1"/>
  <c r="G26" i="1" s="1"/>
  <c r="G33" i="1" s="1"/>
  <c r="G19" i="1"/>
  <c r="T25" i="1"/>
  <c r="U25" i="1" s="1"/>
  <c r="U32" i="1" s="1"/>
  <c r="I27" i="1"/>
  <c r="I34" i="1" s="1"/>
  <c r="H27" i="1"/>
  <c r="O19" i="1"/>
  <c r="R27" i="1"/>
  <c r="S27" i="1" s="1"/>
  <c r="S34" i="1" s="1"/>
  <c r="L24" i="1"/>
  <c r="M24" i="1" s="1"/>
  <c r="M31" i="1" s="1"/>
  <c r="P23" i="1"/>
  <c r="Q23" i="1" s="1"/>
  <c r="Q30" i="1" s="1"/>
  <c r="Q35" i="1" s="1"/>
  <c r="P25" i="1"/>
  <c r="P27" i="1"/>
  <c r="Q27" i="1" s="1"/>
  <c r="Q34" i="1" s="1"/>
  <c r="Q10" i="1"/>
  <c r="L27" i="1"/>
  <c r="M27" i="1" s="1"/>
  <c r="M34" i="1" s="1"/>
  <c r="I19" i="1"/>
  <c r="N19" i="1"/>
  <c r="N23" i="1"/>
  <c r="O23" i="1" s="1"/>
  <c r="O30" i="1" s="1"/>
  <c r="N26" i="1"/>
  <c r="O26" i="1" s="1"/>
  <c r="O33" i="1" s="1"/>
  <c r="R24" i="1"/>
  <c r="S24" i="1" s="1"/>
  <c r="S31" i="1" s="1"/>
  <c r="U19" i="1"/>
  <c r="N24" i="1"/>
  <c r="O24" i="1" s="1"/>
  <c r="O31" i="1" s="1"/>
  <c r="U55" i="1" s="1"/>
  <c r="F25" i="1"/>
  <c r="G25" i="1" s="1"/>
  <c r="G32" i="1" s="1"/>
  <c r="M56" i="1" s="1"/>
  <c r="R25" i="1"/>
  <c r="S25" i="1" s="1"/>
  <c r="S32" i="1" s="1"/>
  <c r="N27" i="1"/>
  <c r="O27" i="1" s="1"/>
  <c r="O34" i="1" s="1"/>
  <c r="R23" i="1"/>
  <c r="S23" i="1" s="1"/>
  <c r="S30" i="1" s="1"/>
  <c r="R19" i="1"/>
  <c r="L19" i="1"/>
  <c r="L23" i="1"/>
  <c r="M23" i="1" s="1"/>
  <c r="M30" i="1" s="1"/>
  <c r="M19" i="1"/>
  <c r="F24" i="1"/>
  <c r="G24" i="1" s="1"/>
  <c r="G31" i="1" s="1"/>
  <c r="F27" i="1"/>
  <c r="G27" i="1" s="1"/>
  <c r="G34" i="1" s="1"/>
  <c r="J23" i="1"/>
  <c r="K23" i="1" s="1"/>
  <c r="K30" i="1" s="1"/>
  <c r="E10" i="1"/>
  <c r="C19" i="1"/>
  <c r="T27" i="1"/>
  <c r="U27" i="1" s="1"/>
  <c r="U34" i="1" s="1"/>
  <c r="J24" i="1"/>
  <c r="J26" i="1"/>
  <c r="K26" i="1" s="1"/>
  <c r="K33" i="1" s="1"/>
  <c r="R26" i="1"/>
  <c r="S26" i="1" s="1"/>
  <c r="S33" i="1" s="1"/>
  <c r="L26" i="1"/>
  <c r="M26" i="1" s="1"/>
  <c r="M33" i="1" s="1"/>
  <c r="B19" i="1"/>
  <c r="E4" i="1"/>
  <c r="Q4" i="1"/>
  <c r="N25" i="1"/>
  <c r="O25" i="1" s="1"/>
  <c r="O32" i="1" s="1"/>
  <c r="E13" i="1"/>
  <c r="Q13" i="1"/>
  <c r="Q33" i="1" s="1"/>
  <c r="K19" i="1"/>
  <c r="E58" i="1" l="1"/>
  <c r="G58" i="1"/>
  <c r="I58" i="1"/>
  <c r="K35" i="1"/>
  <c r="Q54" i="1"/>
  <c r="U56" i="1"/>
  <c r="M55" i="1"/>
  <c r="M58" i="1"/>
  <c r="Q57" i="1"/>
  <c r="S56" i="1"/>
  <c r="Q56" i="1"/>
  <c r="O56" i="1"/>
  <c r="S55" i="1"/>
  <c r="S57" i="1"/>
  <c r="M35" i="1"/>
  <c r="S54" i="1"/>
  <c r="K57" i="1"/>
  <c r="S35" i="1"/>
  <c r="C41" i="1" s="1"/>
  <c r="K58" i="1"/>
  <c r="G55" i="1"/>
  <c r="I55" i="1"/>
  <c r="K55" i="1"/>
  <c r="E55" i="1"/>
  <c r="O35" i="1"/>
  <c r="Q55" i="1"/>
  <c r="O58" i="1"/>
  <c r="Q58" i="1"/>
  <c r="U35" i="1"/>
  <c r="O57" i="1"/>
  <c r="M57" i="1"/>
  <c r="S58" i="1"/>
  <c r="U58" i="1"/>
  <c r="G35" i="1"/>
  <c r="M54" i="1"/>
  <c r="M59" i="1" s="1"/>
  <c r="I35" i="1"/>
  <c r="I57" i="1"/>
  <c r="G57" i="1"/>
  <c r="E30" i="1"/>
  <c r="E35" i="1" s="1"/>
  <c r="U57" i="1"/>
  <c r="I54" i="1"/>
  <c r="G54" i="1"/>
  <c r="E19" i="1"/>
  <c r="K54" i="1"/>
  <c r="E54" i="1"/>
  <c r="Q19" i="1"/>
  <c r="I56" i="1"/>
  <c r="G56" i="1"/>
  <c r="K56" i="1"/>
  <c r="E57" i="1"/>
  <c r="K59" i="1" l="1"/>
  <c r="S59" i="1"/>
  <c r="G59" i="1"/>
  <c r="C39" i="1"/>
  <c r="Q59" i="1"/>
  <c r="O54" i="1"/>
  <c r="O59" i="1" s="1"/>
  <c r="U54" i="1"/>
  <c r="U59" i="1" s="1"/>
  <c r="E59" i="1"/>
  <c r="I59" i="1"/>
  <c r="C40" i="1"/>
</calcChain>
</file>

<file path=xl/sharedStrings.xml><?xml version="1.0" encoding="utf-8"?>
<sst xmlns="http://schemas.openxmlformats.org/spreadsheetml/2006/main" count="1441" uniqueCount="678">
  <si>
    <t>Production Dashboard</t>
  </si>
  <si>
    <t>Exception Report du : 2026-03-20 01:20:09</t>
  </si>
  <si>
    <t>Fichier mis à jour le: 2026-03-20 18:24:41</t>
  </si>
  <si>
    <t>Carnet Client</t>
  </si>
  <si>
    <t>Backlog</t>
  </si>
  <si>
    <t>Forecast W12</t>
  </si>
  <si>
    <t>Forecast W13</t>
  </si>
  <si>
    <t>Forecast W14</t>
  </si>
  <si>
    <t>Forecast W15</t>
  </si>
  <si>
    <t>Forecast W16</t>
  </si>
  <si>
    <t>Forecast W17</t>
  </si>
  <si>
    <t>Forecast W18</t>
  </si>
  <si>
    <t>Forecast W19</t>
  </si>
  <si>
    <t>Forecast W20</t>
  </si>
  <si>
    <t>Postes</t>
  </si>
  <si>
    <t>Tonnes</t>
  </si>
  <si>
    <t>L1</t>
  </si>
  <si>
    <t>Série</t>
  </si>
  <si>
    <t>Proto</t>
  </si>
  <si>
    <t>LAS1</t>
  </si>
  <si>
    <t>P3</t>
  </si>
  <si>
    <t>R1</t>
  </si>
  <si>
    <t>R6</t>
  </si>
  <si>
    <t>Total</t>
  </si>
  <si>
    <t>Gestion des postes</t>
  </si>
  <si>
    <t>W12 Avance / Retard</t>
  </si>
  <si>
    <t>W13 Avance / Retard</t>
  </si>
  <si>
    <t>W14 Avance / Retard</t>
  </si>
  <si>
    <t>W15 Avance / Retard</t>
  </si>
  <si>
    <t>W16 Avance / Retard</t>
  </si>
  <si>
    <t>W17 Avance / Retard</t>
  </si>
  <si>
    <t>W18 Avance / Retard</t>
  </si>
  <si>
    <t>W19 Avance / Retard</t>
  </si>
  <si>
    <t>W20 Avance / Retard</t>
  </si>
  <si>
    <t>LAS1,</t>
  </si>
  <si>
    <t>Production / semaine</t>
  </si>
  <si>
    <t>W12 Total</t>
  </si>
  <si>
    <t>W13 Total</t>
  </si>
  <si>
    <t>W14 Total</t>
  </si>
  <si>
    <t>W15 Total</t>
  </si>
  <si>
    <t>W16 Total</t>
  </si>
  <si>
    <t>W17 Total</t>
  </si>
  <si>
    <t>W18 Total</t>
  </si>
  <si>
    <t>W19 Total</t>
  </si>
  <si>
    <t>W20 Total</t>
  </si>
  <si>
    <t>MRF</t>
  </si>
  <si>
    <t>Objectif</t>
  </si>
  <si>
    <t>Réel</t>
  </si>
  <si>
    <t>W12 Programmation Semaine</t>
  </si>
  <si>
    <t>W13 Programmation Semaine</t>
  </si>
  <si>
    <t>W14 Programmation Semaine</t>
  </si>
  <si>
    <t>W15 Programmation Semaine</t>
  </si>
  <si>
    <t>W16 Programmation Semaine</t>
  </si>
  <si>
    <t>W17 Programmation Semaine</t>
  </si>
  <si>
    <t>W18 Programmation Semaine</t>
  </si>
  <si>
    <t>W19 Programmation Semaine</t>
  </si>
  <si>
    <t>W20 Programmation Semaine</t>
  </si>
  <si>
    <t>March</t>
  </si>
  <si>
    <t>April</t>
  </si>
  <si>
    <t>May</t>
  </si>
  <si>
    <t>Reset Prog</t>
  </si>
  <si>
    <t>Minimum Prog</t>
  </si>
  <si>
    <t>Coefficient productivité</t>
  </si>
  <si>
    <t>W12 Ratrappage Backlog</t>
  </si>
  <si>
    <t>W13 Ratrappage Backlog</t>
  </si>
  <si>
    <t>W14 Ratrappage Backlog</t>
  </si>
  <si>
    <t>W15 Ratrappage Backlog</t>
  </si>
  <si>
    <t>W16 Ratrappage Backlog</t>
  </si>
  <si>
    <t>W17 Ratrappage Backlog</t>
  </si>
  <si>
    <t>W18 Ratrappage Backlog</t>
  </si>
  <si>
    <t>W19 Ratrappage Backlog</t>
  </si>
  <si>
    <t>W20 Ratrappage Backlog</t>
  </si>
  <si>
    <t>Backlog Cumulé</t>
  </si>
  <si>
    <t>Stock FG Free %</t>
  </si>
  <si>
    <t>W13 Stock FG Free %</t>
  </si>
  <si>
    <t>W14 Stock FG Free %</t>
  </si>
  <si>
    <t>W15 Stock FG Free %</t>
  </si>
  <si>
    <t>W16 Stock FG Free %</t>
  </si>
  <si>
    <t>W17 Stock FG Free %</t>
  </si>
  <si>
    <t>W18 Stock FG Free %</t>
  </si>
  <si>
    <t>W19 Stock FG Free %</t>
  </si>
  <si>
    <t>W20 Stock FG Free %</t>
  </si>
  <si>
    <t>36.23 %</t>
  </si>
  <si>
    <t>56.95 %</t>
  </si>
  <si>
    <t>77.18 %</t>
  </si>
  <si>
    <t>39.87 %</t>
  </si>
  <si>
    <t>0.0 %</t>
  </si>
  <si>
    <t>18.91 %</t>
  </si>
  <si>
    <t>28.11 %</t>
  </si>
  <si>
    <t>5.38 %</t>
  </si>
  <si>
    <t>10.4 %</t>
  </si>
  <si>
    <t>28.01 %</t>
  </si>
  <si>
    <t>68.38 %</t>
  </si>
  <si>
    <t>48.26 %</t>
  </si>
  <si>
    <t>69.19 %</t>
  </si>
  <si>
    <t>104.39 %</t>
  </si>
  <si>
    <t>91.3 %</t>
  </si>
  <si>
    <t>68.82 %</t>
  </si>
  <si>
    <t>53.3 %</t>
  </si>
  <si>
    <t>76.26 %</t>
  </si>
  <si>
    <t>84.69 %</t>
  </si>
  <si>
    <t>31.74 %</t>
  </si>
  <si>
    <t>41.75 %</t>
  </si>
  <si>
    <t>62.79 %</t>
  </si>
  <si>
    <t>56.85 %</t>
  </si>
  <si>
    <t>Tonnes exceptionelles</t>
  </si>
  <si>
    <t>W12 Tonnes exceptionelles</t>
  </si>
  <si>
    <t>W13 Tonnes exceptionelles</t>
  </si>
  <si>
    <t>W14 Tonnes exceptionelles</t>
  </si>
  <si>
    <t>W15 Tonnes exceptionelles</t>
  </si>
  <si>
    <t>W16 Tonnes exceptionelles</t>
  </si>
  <si>
    <t>W17 Tonnes exceptionelles</t>
  </si>
  <si>
    <t>W18 Tonnes exceptionelles</t>
  </si>
  <si>
    <t>W19 Tonnes exceptionelles</t>
  </si>
  <si>
    <t>W20 Tonnes exceptionelles</t>
  </si>
  <si>
    <t>Prod Moyenne T/h</t>
  </si>
  <si>
    <t>Details for : L1 serie - Postes Backlog</t>
  </si>
  <si>
    <t>Article : Client - Length x Width x Thickness</t>
  </si>
  <si>
    <t>Productivity</t>
  </si>
  <si>
    <t>Sum Tonnes : 75.26</t>
  </si>
  <si>
    <t>8070684.0:OTIS SCS - 2700.0x989.5x2.5</t>
  </si>
  <si>
    <t>Sum Postes : 1.25</t>
  </si>
  <si>
    <t>8085534.0:VIESSMANN FAULQUEMONT SAS - 3507.0x1746.0x2.55</t>
  </si>
  <si>
    <t>Average Productivity : 8.03</t>
  </si>
  <si>
    <t>8069824.0:VIESSMANN FAULQUEMONT SAS - 2463.0x1667.0x2.5</t>
  </si>
  <si>
    <t>8046628.0:SIMPSON STRONG-TIE SAS - 2500.0x1250.0x2.5</t>
  </si>
  <si>
    <t>8012609.0:SNOP VILLEPINTE - 1220.0x605.0x0.8</t>
  </si>
  <si>
    <t>8040408.0:OTIS SCS - 3380.0x677.0x2.5</t>
  </si>
  <si>
    <t>Details for : L1 serie - Postes Forecast W</t>
  </si>
  <si>
    <t>Sum Tonnes : 126.42</t>
  </si>
  <si>
    <t>8029299.0:SEBP PAVAILLER - 3000.0x1500.0x1.5</t>
  </si>
  <si>
    <t>Sum Postes : 1.89</t>
  </si>
  <si>
    <t>8012581.0:SNOP VILLEPINTE - 430.0x1000.0x0.75</t>
  </si>
  <si>
    <t>Average Productivity : 8.92</t>
  </si>
  <si>
    <t>8012591.0:GEDIA POLAND SP Z.O.O - 2210.0x551.0x2.4</t>
  </si>
  <si>
    <t>8057994.0:RENAULT SAS - 790.0x210.0x2.0</t>
  </si>
  <si>
    <t>8055824.0:MARTINREA BERGNEUSTADT GmbH - 2077.0x367.0x2.0</t>
  </si>
  <si>
    <t>Details for : L1 serie - Postes Forecast W1</t>
  </si>
  <si>
    <t>Sum Tonnes : 149.14</t>
  </si>
  <si>
    <t>8109448.0:VIESSMANN FAULQUEMONT SAS - 2103.0x1654.0x0.7</t>
  </si>
  <si>
    <t>Sum Postes : 2.12</t>
  </si>
  <si>
    <t>8012607.0:SNOP VILLEPINTE - 1268.0x490.0x0.8</t>
  </si>
  <si>
    <t>Average Productivity : 9.38</t>
  </si>
  <si>
    <t>8012608.0:SNOP VILLEPINTE - 1700.0x490.0x0.8</t>
  </si>
  <si>
    <t>8012560.0:SOFEDIT GOUZEAUCOURT - 1920.0x1825.0x0.8</t>
  </si>
  <si>
    <t>Details for : L1 serie - Postes Forecast W2</t>
  </si>
  <si>
    <t>Sum Tonnes : 282.41</t>
  </si>
  <si>
    <t>8029212.0:BONGARD SAS - 2000.0x1500.0x1.5</t>
  </si>
  <si>
    <t>Sum Postes : 4.97</t>
  </si>
  <si>
    <t>8105974.0:BONGARD SAS - 1900.0x950.0x2.0</t>
  </si>
  <si>
    <t>Average Productivity : 7.58</t>
  </si>
  <si>
    <t>8105975.0:BONGARD SAS - 1900.0x1350.0x2.0</t>
  </si>
  <si>
    <t>8029213.0:BONGARD SAS - 3000.0x1500.0x1.5</t>
  </si>
  <si>
    <t>8029215.0:BONGARD SAS - 3000.0x1500.0x2.0</t>
  </si>
  <si>
    <t>8012610.0:SNOP VILLEPINTE - 1205.0x550.0x0.8</t>
  </si>
  <si>
    <t>8012603.0:SNOP VILLEPINTE - 465.0x725.0x1.7</t>
  </si>
  <si>
    <t>8018131.0:BENTELER CR s.r.o. CHRASTAVA - 796.0x235.0x1.4</t>
  </si>
  <si>
    <t>8032515.0:GEDIA POLAND SP Z.O.O - 1480.0x268.0x1.5</t>
  </si>
  <si>
    <t>8032518.0:GEDIA POLAND SP Z.O.O - 1024.0x650.0x1.0</t>
  </si>
  <si>
    <t>8032595.0:GEDIA POLAND SP Z.O.O - 1861.0x273.0x1.2</t>
  </si>
  <si>
    <t>Details for : L1 serie - Postes Forecast W3</t>
  </si>
  <si>
    <t>Sum Tonnes : 199.17</t>
  </si>
  <si>
    <t>Sum Postes : 6.02</t>
  </si>
  <si>
    <t>8012561.0:BENTELER AUTOMOBILTECHNIK GMBH - 2240.0x1500.0x1.8</t>
  </si>
  <si>
    <t>Average Productivity : 4.41</t>
  </si>
  <si>
    <t>8016926.0:SNOP VILLEPINTE - 643.0x374.0x1.2</t>
  </si>
  <si>
    <t>8039307.0:OTIS SCS - 3300.0x550.0x3.0</t>
  </si>
  <si>
    <t>8030451.0:OTIS SCS - 1390.0x410.0x4.0</t>
  </si>
  <si>
    <t>8115339.0:SUNGWOO HITECH GmbH - 620.0x305.0x2.15</t>
  </si>
  <si>
    <t>8117493.0:OTIS SCS - 2700.0x1370.0x2.5</t>
  </si>
  <si>
    <t>Details for : L1 serie - Postes Forecast W4</t>
  </si>
  <si>
    <t>Sum Tonnes : 200.93</t>
  </si>
  <si>
    <t>8033662.0:SIMPSON STRONG-TIE SAS - 2500.0x1250.0x3.0</t>
  </si>
  <si>
    <t>Sum Postes : 3.21</t>
  </si>
  <si>
    <t>8040862.0:SIMPSON STRONG-TIE SAS - 2500.0x1250.0x2.0</t>
  </si>
  <si>
    <t>Average Productivity : 8.35</t>
  </si>
  <si>
    <t>8012601.0:SNOP VILLEPINTE - 1220.0x480.0x1.2</t>
  </si>
  <si>
    <t>8012606.0:SNOP VILLEPINTE - 400.0x550.0x1.5</t>
  </si>
  <si>
    <t>Details for : L1 proto - Postes Backlog</t>
  </si>
  <si>
    <t>Sum Tonnes : 11.58</t>
  </si>
  <si>
    <t>8111450.0:ARCELORMITTAL PROTO FLORANGE - 1239.0x316.0x0.75</t>
  </si>
  <si>
    <t>Sum Postes : 1.93</t>
  </si>
  <si>
    <t>8113243.0:ARCELORMITTAL PROTO FLORANGE - 1239.0x316.0x0.8</t>
  </si>
  <si>
    <t>Average Productivity : 0.8</t>
  </si>
  <si>
    <t>8112219.0:ARCELORMITTAL PROTO FLORANGE - 500.0x1500.0x1.5</t>
  </si>
  <si>
    <t>8112230.0:ARCELORMITTAL PROTO FLORANGE - 500.0x1050.0x3.0</t>
  </si>
  <si>
    <t>8113441.0:ARCELORMITTAL PROTO FLORANGE - 1000.0x1176.0x0.73</t>
  </si>
  <si>
    <t>8113528.0:ARCELORMITTAL PROTO FLORANGE - 1000.0x1176.0x0.73</t>
  </si>
  <si>
    <t>8113591.0:ARCELORMITTAL PROTO FLORANGE - 500.0x830.0x1.6</t>
  </si>
  <si>
    <t>8113664.0:ARCELORMITTAL PROTO FLORANGE - 500.0x830.0x1.6</t>
  </si>
  <si>
    <t>8116952.0:ARCELORMITTAL PROTO FLORANGE - 1000.0x1004.0x1.0</t>
  </si>
  <si>
    <t>8116955.0:ARCELORMITTAL PROTO FLORANGE - 1000.0x1004.0x1.0</t>
  </si>
  <si>
    <t>8116958.0:ARCELORMITTAL PROTO FLORANGE - 1000.0x1004.0x1.0</t>
  </si>
  <si>
    <t>8117031.0:ARCELORMITTAL PROTO FLORANGE - 1000.0x1004.0x1.0</t>
  </si>
  <si>
    <t>8117032.0:ARCELORMITTAL PROTO FLORANGE - 1000.0x1004.0x1.0</t>
  </si>
  <si>
    <t>8117033.0:ARCELORMITTAL PROTO FLORANGE - 1000.0x1004.0x1.0</t>
  </si>
  <si>
    <t>8117036.0:ARCELORMITTAL PROTO FLORANGE - 1000.0x1002.0x1.0</t>
  </si>
  <si>
    <t>8117037.0:ARCELORMITTAL PROTO FLORANGE - 1000.0x1002.0x1.0</t>
  </si>
  <si>
    <t>8117038.0:ARCELORMITTAL PROTO FLORANGE - 1000.0x1002.0x1.0</t>
  </si>
  <si>
    <t>8117039.0:ARCELORMITTAL PROTO FLORANGE - 1000.0x1002.0x1.0</t>
  </si>
  <si>
    <t>8117050.0:ARCELORMITTAL PROTO FLORANGE - 1000.0x1002.0x1.0</t>
  </si>
  <si>
    <t>8117051.0:ARCELORMITTAL PROTO FLORANGE - 1000.0x1002.0x1.0</t>
  </si>
  <si>
    <t>Details for : L1 proto - Postes Forecast W</t>
  </si>
  <si>
    <t>Sum Tonnes : 32.31</t>
  </si>
  <si>
    <t>8115341.0:ARCELORMITTAL PROTO FLORANGE - 4250.0x1850.0x0.7</t>
  </si>
  <si>
    <t>Sum Postes : 0.9</t>
  </si>
  <si>
    <t>8115395.0:ARCELORMITTAL PROTO FLORANGE - 1100.0x1300.0x1.6</t>
  </si>
  <si>
    <t>Average Productivity : 4.79</t>
  </si>
  <si>
    <t>8115413.0:ARCELORMITTAL PROTO FLORANGE - 1100.0x1300.0x1.2</t>
  </si>
  <si>
    <t>8115416.0:ARCELORMITTAL PROTO FLORANGE - 1100.0x1300.0x1.6</t>
  </si>
  <si>
    <t>8115464.0:ARCELORMITTAL PROTO FLORANGE - 783.8x1390.0x2.0</t>
  </si>
  <si>
    <t>8115519.0:ARCELORMITTAL PROTO FLORANGE - 1400.0x300.0x1.5</t>
  </si>
  <si>
    <t>8115585.0:ARCELORMITTAL PROTO FLORANGE - 1600.0x595.0x1.0</t>
  </si>
  <si>
    <t>8115588.0:ARCELORMITTAL PROTO FLORANGE - 1600.0x595.0x1.2</t>
  </si>
  <si>
    <t>8115590.0:ARCELORMITTAL PROTO FLORANGE - 2000.0x1350.0x1.6</t>
  </si>
  <si>
    <t>8115747.0:ARCELORMITTAL PROTO FLORANGE - 500.0x1700.0x1.5</t>
  </si>
  <si>
    <t>8116148.0:ARCELORMITTAL PROTO FLORANGE - 420.0x1120.0x0.8</t>
  </si>
  <si>
    <t>Details for : L1 proto - Postes Forecast W1</t>
  </si>
  <si>
    <t>Sum Tonnes : 103.25</t>
  </si>
  <si>
    <t>8116708.0:ARCELORMITTAL PROTO FLORANGE - 2000.0x1359.0x2.0</t>
  </si>
  <si>
    <t>Sum Postes : 3.71</t>
  </si>
  <si>
    <t>8110104.0:ARCELORMITTAL PROTO FLORANGE - 2500.0x1500.0x1.5</t>
  </si>
  <si>
    <t>Average Productivity : 3.71</t>
  </si>
  <si>
    <t>8115785.0:ARCELORMITTAL PROTO FLORANGE - 1805.0x1210.0x1.2</t>
  </si>
  <si>
    <t>8116647.0:ARCELORMITTAL PROTO FLORANGE - 800.0x1700.0x1.5</t>
  </si>
  <si>
    <t>8116648.0:ARCELORMITTAL PROTO FLORANGE - 800.0x1460.0x1.5</t>
  </si>
  <si>
    <t>8116822.0:RENAULT TECHNOLOGIE ROUMANIE SRL - 1150.0x1830.0x0.73</t>
  </si>
  <si>
    <t>8116823.0:RENAULT TECHNOLOGIE ROUMANIE SRL - 1150.0x1830.0x0.73</t>
  </si>
  <si>
    <t>8117356.0:RENAULT TECHNOLOGIE ROUMANIE SRL - 1150.0x1830.0x0.72</t>
  </si>
  <si>
    <t>8117365.0:RENAULT TECHNOLOGIE ROUMANIE SRL - 1150.0x1830.0x0.72</t>
  </si>
  <si>
    <t>8117368.0:RENAULT TECHNOLOGIE ROUMANIE SRL - 1150.0x1830.0x0.72</t>
  </si>
  <si>
    <t>8117374.0:RENAULT TECHNOLOGIE ROUMANIE SRL - 1150.0x1830.0x0.72</t>
  </si>
  <si>
    <t>8117377.0:RENAULT TECHNOLOGIE ROUMANIE SRL - 1150.0x1830.0x0.72</t>
  </si>
  <si>
    <t>8117378.0:RENAULT TECHNOLOGIE ROUMANIE SRL - 1150.0x1830.0x0.72</t>
  </si>
  <si>
    <t>8117144.0:ARCELORMITTAL PROTO FLORANGE - 1900.0x700.0x0.7</t>
  </si>
  <si>
    <t>8117575.0:PEUGEOT CITROEN AUTOMOBILES SA - 2000.0x970.0x1.6</t>
  </si>
  <si>
    <t>8117579.0:PEUGEOT CITROEN AUTOMOBILES SA - 2000.0x1290.0x1.6</t>
  </si>
  <si>
    <t>Details for : L1 proto - Postes Forecast W2</t>
  </si>
  <si>
    <t>Sum Tonnes : 34.13</t>
  </si>
  <si>
    <t>8114716.0:ARCELORMITTAL PROTO FLORANGE - 3100.0x1580.0x0.7</t>
  </si>
  <si>
    <t>Sum Postes : 0.93</t>
  </si>
  <si>
    <t>8116732.0:ARCELORMITTAL PROTO FLORANGE - 500.0x1280.0x1.5</t>
  </si>
  <si>
    <t>Average Productivity : 4.89</t>
  </si>
  <si>
    <t>8116736.0:ARCELORMITTAL PROTO FLORANGE - 1000.0x1280.0x1.5</t>
  </si>
  <si>
    <t>8116962.0:ARCELORMITTAL PROTO FLORANGE - 500.0x1280.0x1.5</t>
  </si>
  <si>
    <t>8116966.0:ARCELORMITTAL PROTO FLORANGE - 1000.0x1280.0x1.5</t>
  </si>
  <si>
    <t>8117090.0:ARCELORMITTAL PROTO FLORANGE - 3000.0x1255.0x1.6</t>
  </si>
  <si>
    <t>Details for : L1 proto - Postes Forecast W3</t>
  </si>
  <si>
    <t>Sum Tonnes : 0.82</t>
  </si>
  <si>
    <t>8117499.0:ARCELORMITTAL PROTO FLORANGE - 500.0x1045.0x1.1</t>
  </si>
  <si>
    <t>Sum Postes : 0.02</t>
  </si>
  <si>
    <t>8117511.0:ARCELORMITTAL PROTO FLORANGE - 1000.0x1045.0x1.1</t>
  </si>
  <si>
    <t>Average Productivity : 5.49</t>
  </si>
  <si>
    <t>8117736.0:ARCELORMITTAL PROTO FLORANGE - 500.0x1045.0x1.1</t>
  </si>
  <si>
    <t>8117737.0:ARCELORMITTAL PROTO FLORANGE - 1000.0x1045.0x1.1</t>
  </si>
  <si>
    <t>Details for : L1 proto - Postes Forecast W4</t>
  </si>
  <si>
    <t>Sum Tonnes : 32.28</t>
  </si>
  <si>
    <t>8114701.0:ARCELORMITTAL PROTO FLORANGE - 3100.0x1580.0x0.7</t>
  </si>
  <si>
    <t>Sum Postes : 0.88</t>
  </si>
  <si>
    <t>Details for : LASS1, serie - Postes Backlog</t>
  </si>
  <si>
    <t>Sum Tonnes : 0.62</t>
  </si>
  <si>
    <t>8107433.0:ARCELORMITTAL PROTO FLORANGE - 0.0x0.0x1.6</t>
  </si>
  <si>
    <t>8071005.0:SNOP VILLEPINTE - 0.0x0.0x1.8</t>
  </si>
  <si>
    <t>Average Productivity : 4.15</t>
  </si>
  <si>
    <t>Details for : LASS1, serie - Postes Forecast W2</t>
  </si>
  <si>
    <t>Sum Tonnes : 1.33</t>
  </si>
  <si>
    <t>8070469.0:SNOP VILLEPINTE - 0.0x0.0x1.2</t>
  </si>
  <si>
    <t>Sum Postes : 0.63</t>
  </si>
  <si>
    <t>Average Productivity : 0.28</t>
  </si>
  <si>
    <t>Details for : LASS1, serie - Postes Forecast W3</t>
  </si>
  <si>
    <t>Sum Tonnes : 1.36</t>
  </si>
  <si>
    <t>Sum Postes : 0.41</t>
  </si>
  <si>
    <t>Average Productivity : 0.44</t>
  </si>
  <si>
    <t>Details for : LASS1, serie - Postes Forecast W4</t>
  </si>
  <si>
    <t>Sum Tonnes : 29.08</t>
  </si>
  <si>
    <t>8018115.0:SODECIA AUTOMOTIVE SAARLOUIS GMBH - 0.0x0.0x1.8</t>
  </si>
  <si>
    <t>Sum Postes : 2.19</t>
  </si>
  <si>
    <t>Average Productivity : 1.77</t>
  </si>
  <si>
    <t>Details for : LASS1, proto - Postes Backlog</t>
  </si>
  <si>
    <t>Sum Tonnes : 134.35</t>
  </si>
  <si>
    <t>8110469.0:ARCELORMITTAL PROTO FLORANGE - 0.0x0.0x0.65</t>
  </si>
  <si>
    <t>Sum Postes : 17.88</t>
  </si>
  <si>
    <t>8111081.0:ARCELORMITTAL PROTO FLORANGE - 0.0x0.0x1.2</t>
  </si>
  <si>
    <t>Average Productivity : 1.0</t>
  </si>
  <si>
    <t>8111083.0:ARCELORMITTAL PROTO FLORANGE - 0.0x0.0x1.2</t>
  </si>
  <si>
    <t>8111149.0:ARCELORMITTAL PROTO FLORANGE - 0.0x0.0x1.2</t>
  </si>
  <si>
    <t>8111697.0:ARCELORMITTAL PROTO FLORANGE - 0.0x0.0x0.75</t>
  </si>
  <si>
    <t>8112146.0:ARCELORMITTAL PROTO FLORANGE - 0.0x0.0x0.75</t>
  </si>
  <si>
    <t>8113733.0:ARCELORMITTAL PROTO FLORANGE - 0.0x0.0x1.2</t>
  </si>
  <si>
    <t>8113735.0:ARCELORMITTAL PROTO FLORANGE - 0.0x0.0x1.2</t>
  </si>
  <si>
    <t>8113736.0:ARCELORMITTAL PROTO FLORANGE - 0.0x0.0x1.5</t>
  </si>
  <si>
    <t>8117683.0:FCA Italy S.p.A. - 0.0x0.0x0.65</t>
  </si>
  <si>
    <t>8117684.0:FCA Italy S.p.A. - 0.0x0.0x0.65</t>
  </si>
  <si>
    <t>8117685.0:FCA Italy S.p.A. - 0.0x0.0x0.65</t>
  </si>
  <si>
    <t>Details for : LASS1, proto - Postes Forecast W</t>
  </si>
  <si>
    <t>Sum Tonnes : 6.22</t>
  </si>
  <si>
    <t>8116183.0:ARCELORMITTAL PROTO FLORANGE - 0.0x0.0x1.2</t>
  </si>
  <si>
    <t>Sum Postes : 0.17</t>
  </si>
  <si>
    <t>8116186.0:ARCELORMITTAL PROTO FLORANGE - 0.0x0.0x1.2</t>
  </si>
  <si>
    <t>Average Productivity : 4.88</t>
  </si>
  <si>
    <t>8116652.0:ARCELORMITTAL PROTO FLORANGE - 0.0x0.0x1.2</t>
  </si>
  <si>
    <t>8116654.0:ARCELORMITTAL PROTO FLORANGE - 0.0x0.0x1.2</t>
  </si>
  <si>
    <t>8117604.0:ARCELORMITTAL PROTO FLORANGE - 0.0x0.0x2.0</t>
  </si>
  <si>
    <t>8117605.0:ARCELORMITTAL PROTO FLORANGE - 0.0x0.0x2.0</t>
  </si>
  <si>
    <t>Details for : LASS1, proto - Postes Forecast W1</t>
  </si>
  <si>
    <t>Sum Tonnes : 20.9</t>
  </si>
  <si>
    <t>8116544.0:ARCELORMITTAL PROTO FLORANGE - 0.0x0.0x1.25</t>
  </si>
  <si>
    <t>Sum Postes : 0.57</t>
  </si>
  <si>
    <t>8116545.0:ARCELORMITTAL PROTO FLORANGE - 0.0x0.0x1.25</t>
  </si>
  <si>
    <t>8116546.0:ARCELORMITTAL PROTO FLORANGE - 0.0x0.0x1.5</t>
  </si>
  <si>
    <t>Details for : LASS1, proto - Postes Forecast W2</t>
  </si>
  <si>
    <t>Sum Tonnes : 11.64</t>
  </si>
  <si>
    <t>8117527.0:ARCELORMITTAL PROTO FLORANGE - 0.0x0.0x1.6</t>
  </si>
  <si>
    <t>Sum Postes : 0.32</t>
  </si>
  <si>
    <t>8117528.0:ARCELORMITTAL PROTO FLORANGE - 0.0x0.0x1.6</t>
  </si>
  <si>
    <t>Average Productivity : 4.85</t>
  </si>
  <si>
    <t>Details for : P3 serie - Postes Backlog</t>
  </si>
  <si>
    <t>Sum Tonnes : 13.93</t>
  </si>
  <si>
    <t>8028660.0:DUBERNARD - 335.0x497.0x2.0</t>
  </si>
  <si>
    <t>Sum Postes : 0.74</t>
  </si>
  <si>
    <t>8029332.0:DUBERNARD - 497.0x497.0x2.0</t>
  </si>
  <si>
    <t>Average Productivity : 2.51</t>
  </si>
  <si>
    <t>8068756.0:PEUGEOT CITROEN AUTOMOBILES SA - 232.0x775.0x1.0</t>
  </si>
  <si>
    <t>Details for : P3 serie - Postes Forecast W</t>
  </si>
  <si>
    <t>Sum Tonnes : 156.34</t>
  </si>
  <si>
    <t>8033734.0:DE BUYER INDUSTRIES  SA - 635.0x435.0x1.2</t>
  </si>
  <si>
    <t>Sum Postes : 10.23</t>
  </si>
  <si>
    <t>8012614.0:DAF TRUCKS NV - 1550.0x300.0x2.5</t>
  </si>
  <si>
    <t>Average Productivity : 2.04</t>
  </si>
  <si>
    <t>8012600.0:TOYOTA TSUSHO EUROPE S.A. - 156.0x780.0x1.2</t>
  </si>
  <si>
    <t>8019847.0:ADAM OPEL GMBH - 295.0x620.0x3.8</t>
  </si>
  <si>
    <t>8031950.0:PEUGEOT CITROEN AUTOMOBILES SA - 845.0x306.0x1.3</t>
  </si>
  <si>
    <t>8106084.0:PEUGEOT CITROEN AUTOMOBILES SA - 240.0x884.0x0.9</t>
  </si>
  <si>
    <t>Details for : P3 serie - Postes Forecast W1</t>
  </si>
  <si>
    <t>Sum Tonnes : 92.01</t>
  </si>
  <si>
    <t>8033732.0:DE BUYER INDUSTRIES  SA - 534.0x329.0x1.2</t>
  </si>
  <si>
    <t>Sum Postes : 7.66</t>
  </si>
  <si>
    <t>Average Productivity : 1.6</t>
  </si>
  <si>
    <t>Details for : P3 serie - Postes Forecast W2</t>
  </si>
  <si>
    <t>Sum Tonnes : 80.55</t>
  </si>
  <si>
    <t>8042088.0:STE DES EXTINCTEURS ANDRIEU - 497.0x349.0x1.5</t>
  </si>
  <si>
    <t>Sum Postes : 5.21</t>
  </si>
  <si>
    <t>8033731.0:DE BUYER INDUSTRIES  SA - 600.0x400.0x1.2</t>
  </si>
  <si>
    <t>Average Productivity : 2.06</t>
  </si>
  <si>
    <t>Details for : P3 serie - Postes Forecast W3</t>
  </si>
  <si>
    <t>Sum Tonnes : 24.94</t>
  </si>
  <si>
    <t>8012559.0:GESTAMP LE THEIL - 265.5x950.0x5.0</t>
  </si>
  <si>
    <t>Sum Postes : 1.71</t>
  </si>
  <si>
    <t>8042687.0:OTIS SCS - 1370.0x750.0x4.0</t>
  </si>
  <si>
    <t>Average Productivity : 1.94</t>
  </si>
  <si>
    <t>Details for : P3 serie - Postes Forecast W4</t>
  </si>
  <si>
    <t>Sum Tonnes : 50.01</t>
  </si>
  <si>
    <t>8012585.0:RENAULT SAS - 237.0x1131.0x5.5</t>
  </si>
  <si>
    <t>Sum Postes : 4.04</t>
  </si>
  <si>
    <t>Average Productivity : 1.65</t>
  </si>
  <si>
    <t>8068567.0:F2J STAMPING BESSINES - 190.0x350.0x3.5</t>
  </si>
  <si>
    <t>8087024.0:F2J STAMPING BESSINES - 918.0x340.0x5.0</t>
  </si>
  <si>
    <t>Details for : P3 proto - Postes Backlog</t>
  </si>
  <si>
    <t>Sum Tonnes : 19.42</t>
  </si>
  <si>
    <t>8032078.0:ARCELORMITTAL PROTO FLORANGE - 0.0x0.0x0.85</t>
  </si>
  <si>
    <t>Sum Postes : 0.7</t>
  </si>
  <si>
    <t>8032089.0:ARCELORMITTAL PROTO FLORANGE - 0.0x0.0x0.85</t>
  </si>
  <si>
    <t>Average Productivity : 3.7</t>
  </si>
  <si>
    <t>8090786.0:ARCELORMITTAL PROTO FLORANGE - 2000.0x1200.0x2.5</t>
  </si>
  <si>
    <t>8110736.0:ARCELORMITTAL PROTO FLORANGE - 2200.0x1000.0x0.8</t>
  </si>
  <si>
    <t>8113944.0:ARCELORMITTAL PROTO FLORANGE - 2000.0x904.0x2.12</t>
  </si>
  <si>
    <t>8116114.0:ARCELORMITTAL PROTO FLORANGE - 2000.0x1002.0x2.23</t>
  </si>
  <si>
    <t>Details for : P3 proto - Postes Forecast W</t>
  </si>
  <si>
    <t>Sum Tonnes : 3.92</t>
  </si>
  <si>
    <t>8115925.0:ARCELORMITTAL PROTO FLORANGE - 500.0x1010.0x1.4</t>
  </si>
  <si>
    <t>Sum Postes : 0.1</t>
  </si>
  <si>
    <t>8116251.0:ARCELORMITTAL PROTO FLORANGE - 1000.0x1200.0x1.1</t>
  </si>
  <si>
    <t>Average Productivity : 5.23</t>
  </si>
  <si>
    <t>8116399.0:ARCELORMITTAL PROTO FLORANGE - 2000.0x1150.0x2.1</t>
  </si>
  <si>
    <t>Details for : P3 proto - Postes Forecast W1</t>
  </si>
  <si>
    <t>Sum Tonnes : 0.45</t>
  </si>
  <si>
    <t>8115905.0:PEUGEOT CITROEN AUTOMOBILES SA - 1500.0x1200.0x1.7</t>
  </si>
  <si>
    <t>8117015.0:ARCELORMITTAL PROTO FLORANGE - 500.0x1030.0x1.0</t>
  </si>
  <si>
    <t>Average Productivity : 2.99</t>
  </si>
  <si>
    <t>Details for : R1 serie - Postes Backlog</t>
  </si>
  <si>
    <t>Sum Tonnes : 420.44</t>
  </si>
  <si>
    <t>8058213.0:ArcelorMittal FRANCE - 0.0x910.0x0.65</t>
  </si>
  <si>
    <t>Sum Postes : 3.66</t>
  </si>
  <si>
    <t>Average Productivity : 15.32</t>
  </si>
  <si>
    <t>8054672.0:ArcelorMittal FRANCE - 0.0x970.0x0.5</t>
  </si>
  <si>
    <t>8055148.0:ArcelorMittal FRANCE - 0.0x900.0x0.5</t>
  </si>
  <si>
    <t>8022928.0:ArcelorMittal FRANCE - 0.0x880.0x0.85</t>
  </si>
  <si>
    <t>8056251.0:LEBRAUT RICHARD DECOUPAGE SAS - 0.0x337.0x1.5</t>
  </si>
  <si>
    <t>8048886.0:LEBRAUT RICHARD DECOUPAGE SAS - 0.0x387.0x1.5</t>
  </si>
  <si>
    <t>8041795.0:SIMPSON STRONG-TIE SAS - 0.0x440.0x2.0</t>
  </si>
  <si>
    <t>8033084.0:SIMPSON STRONG-TIE SAS - 0.0x380.0x2.0</t>
  </si>
  <si>
    <t>8110459.0:TOLE PRO - 0.0x74.0x2.45</t>
  </si>
  <si>
    <t>8029019.0:PLACOPLATRE SA - 0.0x92.0x0.59</t>
  </si>
  <si>
    <t>8029712.0:RICHTER SYSTEM / SCHULTZ - 0.0x118.0x0.58</t>
  </si>
  <si>
    <t>8068456.0:SEMIN PROFILS - 0.0x93.0x0.58</t>
  </si>
  <si>
    <t>8068457.0:SEMIN PROFILS - 0.0x121.0x0.58</t>
  </si>
  <si>
    <t>8111846.0:SEMIN PROFILS - 0.0x91.0x0.58</t>
  </si>
  <si>
    <t>8029020.0:PLACOPLATRE SA - 0.0x119.0x0.59</t>
  </si>
  <si>
    <t>8033599.0:RICHTER SYSTEM - 0.0x118.0x0.58</t>
  </si>
  <si>
    <t>8033596.0:SIMPSON STRONG-TIE SAS - 0.0x300.0x2.5</t>
  </si>
  <si>
    <t>8033009.0:SIMPSON STRONG-TIE SAS - 0.0x214.0x3.0</t>
  </si>
  <si>
    <t>8042388.0:SIMPSON STRONG-TIE SAS - 0.0x275.0x3.0</t>
  </si>
  <si>
    <t>8040826.0:SIMPSON STRONG-TIE SAS - 0.0x120.0x2.5</t>
  </si>
  <si>
    <t>8040825.0:SIMPSON STRONG-TIE SAS - 0.0x160.0x2.5</t>
  </si>
  <si>
    <t>8112003.0:PLAFOMETAL - 0.0x100.0x0.52</t>
  </si>
  <si>
    <t>8115734.0:GESTAMP SERMAISES - 0.0x308.0x1.5</t>
  </si>
  <si>
    <t>8067995.0:RENAULT SAS - 0.0x432.0x5.0</t>
  </si>
  <si>
    <t>8029912.0:SAREL APPAREILLAGE ELECTRIQUE - 0.0x1046.0x1.5</t>
  </si>
  <si>
    <t>8029910.0:SAREL APPAREILLAGE ELECTRIQUE - 0.0x621.5x1.5</t>
  </si>
  <si>
    <t>8052106.0:SAREL APPAREILLAGE ELECTRIQUE - 0.0x225.9x1.5</t>
  </si>
  <si>
    <t>8029919.0:SAREL APPAREILLAGE ELECTRIQUE - 0.0x389.0x1.8</t>
  </si>
  <si>
    <t>Details for : R1 serie - Postes Forecast W</t>
  </si>
  <si>
    <t>Sum Tonnes : 348.08</t>
  </si>
  <si>
    <t>8048995.0:LEBRAUT RICHARD DECOUPAGE SAS - 0.0x305.0x1.5</t>
  </si>
  <si>
    <t>Sum Postes : 2.86</t>
  </si>
  <si>
    <t>8039779.0:SIMPSON STRONG-TIE SAS - 0.0x320.0x1.5</t>
  </si>
  <si>
    <t>Average Productivity : 16.23</t>
  </si>
  <si>
    <t>8115435.0:SAREL APPAREILLAGE ELECTRIQUE - 0.0x62.0x1.5</t>
  </si>
  <si>
    <t>8070655.0:SEMIN PROFILS - 0.0x62.5x0.52</t>
  </si>
  <si>
    <t>8012020.0:STEEL CENTER EUROPE S.R.O. - 0.0x312.0x4.0</t>
  </si>
  <si>
    <t>8027664.0:SNOP VILLEPINTE - 0.0x212.8x1.15</t>
  </si>
  <si>
    <t>8027662.0:SNOP VILLEPINTE - 0.0x101.5x1.05</t>
  </si>
  <si>
    <t>8058392.0:BAOMARC - 0.0x563.0x2.0</t>
  </si>
  <si>
    <t>8061680.0:SNOP VILLEPINTE - 0.0x298.8x1.05</t>
  </si>
  <si>
    <t>8061732.0:SNOP VILLEPINTE - 0.0x302.3x1.2</t>
  </si>
  <si>
    <t>8029922.0:SAREL APPAREILLAGE ELECTRIQUE - 0.0x1139.0x1.15</t>
  </si>
  <si>
    <t>8029911.0:SAREL APPAREILLAGE ELECTRIQUE - 0.0x821.5x1.5</t>
  </si>
  <si>
    <t>8029931.0:SAREL APPAREILLAGE ELECTRIQUE - 0.0x521.5x1.5</t>
  </si>
  <si>
    <t>8029913.0:SAREL APPAREILLAGE ELECTRIQUE - 0.0x1246.0x1.5</t>
  </si>
  <si>
    <t>8029909.0:SAREL APPAREILLAGE ELECTRIQUE - 0.0x421.5x1.5</t>
  </si>
  <si>
    <t>8029920.0:SAREL APPAREILLAGE ELECTRIQUE - 0.0x589.0x1.8</t>
  </si>
  <si>
    <t>8029921.0:SAREL APPAREILLAGE ELECTRIQUE - 0.0x840.0x1.0</t>
  </si>
  <si>
    <t>8029907.0:SAREL APPAREILLAGE ELECTRIQUE - 0.0x1021.5x1.5</t>
  </si>
  <si>
    <t>8029916.0:SAREL APPAREILLAGE ELECTRIQUE - 0.0x789.0x1.8</t>
  </si>
  <si>
    <t>8029917.0:SAREL APPAREILLAGE ELECTRIQUE - 0.0x989.0x1.8</t>
  </si>
  <si>
    <t>8029893.0:SAREL APPAREILLAGE ELECTRIQUE - 0.0x940.0x1.0</t>
  </si>
  <si>
    <t>8029896.0:SAREL APPAREILLAGE ELECTRIQUE - 0.0x438.0x1.2</t>
  </si>
  <si>
    <t>8029895.0:SAREL APPAREILLAGE ELECTRIQUE - 0.0x846.0x1.5</t>
  </si>
  <si>
    <t>8029928.0:SAREL APPAREILLAGE ELECTRIQUE - 0.0x447.0x1.0</t>
  </si>
  <si>
    <t>8022128.0:NPL SASU - 0.0x227.0x1.0</t>
  </si>
  <si>
    <t>8029898.0:SAREL APPAREILLAGE ELECTRIQUE - 0.0x638.0x1.2</t>
  </si>
  <si>
    <t>8029927.0:SAREL APPAREILLAGE ELECTRIQUE - 0.0x347.0x1.0</t>
  </si>
  <si>
    <t>8114017.0:PAULSTRA - 0.0x79.0x0.5</t>
  </si>
  <si>
    <t>8114082.0:PAULSTRA - 0.0x130.0x0.5</t>
  </si>
  <si>
    <t>Details for : R1 serie - Postes Forecast W1</t>
  </si>
  <si>
    <t>Sum Tonnes : 386.34</t>
  </si>
  <si>
    <t>8029597.0:VIESSMANN FAULQUEMONT SAS - 0.0x576.0x3.5</t>
  </si>
  <si>
    <t>Sum Postes : 2.82</t>
  </si>
  <si>
    <t>8033597.0:SIMPSON STRONG-TIE SAS - 0.0x200.0x3.0</t>
  </si>
  <si>
    <t>Average Productivity : 18.27</t>
  </si>
  <si>
    <t>8046458.0:SIMPSON STRONG-TIE SAS - 0.0x195.0x1.5</t>
  </si>
  <si>
    <t>8033496.0:SIMPSON STRONG-TIE SAS - 0.0x230.0x1.5</t>
  </si>
  <si>
    <t>8034293.0:RICHTER SYSTEM / SCHULTZ - 0.0x170.0x0.58</t>
  </si>
  <si>
    <t>8017856.0:MA POLSKA - 0.0x293.5x0.95</t>
  </si>
  <si>
    <t>8027928.0:MA SRL - 0.0x320.0x1.4</t>
  </si>
  <si>
    <t>8008096.0:GESTAMP NOURY S.A. - 0.0x260.4x1.5</t>
  </si>
  <si>
    <t>8041076.0:MA SRL - 0.0x301.0x1.3</t>
  </si>
  <si>
    <t>8050618.0:MA POLSKA - 0.0x320.0x1.4</t>
  </si>
  <si>
    <t>8106440.0:MAGNA LORRAINE - 0.0x590.0x0.6</t>
  </si>
  <si>
    <t>Details for : R1 serie - Postes Forecast W2</t>
  </si>
  <si>
    <t>Sum Tonnes : 795.73</t>
  </si>
  <si>
    <t>8023365.0:BAOMARC - 0.0x248.6x1.2</t>
  </si>
  <si>
    <t>Sum Postes : 5.51</t>
  </si>
  <si>
    <t>8029596.0:VIESSMANN FAULQUEMONT SAS - 0.0x576.0x2.5</t>
  </si>
  <si>
    <t>Average Productivity : 19.26</t>
  </si>
  <si>
    <t>8085848.0:BUBENDORFF SAS - 0.0x185.0x0.6</t>
  </si>
  <si>
    <t>8049443.0:PLAFOMETAL - 0.0x92.0x0.59</t>
  </si>
  <si>
    <t>8117529.0:PLAFOMETAL - 0.0x119.0x0.59</t>
  </si>
  <si>
    <t>8013866.0:MA SRL - 0.0x265.0x0.95</t>
  </si>
  <si>
    <t>8013898.0:GESTAMP NOURY S.A. - 0.0x289.3x1.5</t>
  </si>
  <si>
    <t>8014488.0:TRICO BELGIUM SA - 0.0x120.0x1.48</t>
  </si>
  <si>
    <t>8022968.0:BAOMARC - 0.0x304.0x1.5</t>
  </si>
  <si>
    <t>8067997.0:RENAULT SAS - 0.0x325.0x5.0</t>
  </si>
  <si>
    <t>8029925.0:SAREL APPAREILLAGE ELECTRIQUE - 0.0x640.0x1.0</t>
  </si>
  <si>
    <t>8040446.0:SAREL APPAREILLAGE ELECTRIQUE - 0.0x797.0x2.5</t>
  </si>
  <si>
    <t>8029930.0:SAREL APPAREILLAGE ELECTRIQUE - 0.0x1040.0x1.0</t>
  </si>
  <si>
    <t>8029924.0:SAREL APPAREILLAGE ELECTRIQUE - 0.0x1039.0x1.15</t>
  </si>
  <si>
    <t>8029923.0:SAREL APPAREILLAGE ELECTRIQUE - 0.0x1239.0x1.15</t>
  </si>
  <si>
    <t>8029894.0:SAREL APPAREILLAGE ELECTRIQUE - 0.0x338.0x1.2</t>
  </si>
  <si>
    <t>8029926.0:SAREL APPAREILLAGE ELECTRIQUE - 0.0x740.0x1.0</t>
  </si>
  <si>
    <t>Details for : R1 serie - Postes Forecast W3</t>
  </si>
  <si>
    <t>Sum Tonnes : 449.16</t>
  </si>
  <si>
    <t>8033158.0:SIMPSON STRONG-TIE SAS - 0.0x171.0x2.5</t>
  </si>
  <si>
    <t>Sum Postes : 3.28</t>
  </si>
  <si>
    <t>8115966.0:SIMPSON STRONG-TIE SAS - 0.0x140.0x2.5</t>
  </si>
  <si>
    <t>Average Productivity : 18.26</t>
  </si>
  <si>
    <t>8012019.0:STEEL CENTER EUROPE S.R.O. - 0.0x158.0x4.0</t>
  </si>
  <si>
    <t>8012047.0:STEEL CENTER EUROPE S.R.O. - 0.0x218.0x4.0</t>
  </si>
  <si>
    <t>8088383.0:RENAULT S.A.S - 0.0x650.0x2.0</t>
  </si>
  <si>
    <t>8112691.0:PAULSTRA - 0.0x94.0x0.8</t>
  </si>
  <si>
    <t>Details for : R1 serie - Postes Forecast W4</t>
  </si>
  <si>
    <t>Sum Tonnes : 495.87</t>
  </si>
  <si>
    <t>8053691.0:VIESSMANN FAULQUEMONT SAS - 0.0x630.0x2.5</t>
  </si>
  <si>
    <t>Sum Postes : 3.09</t>
  </si>
  <si>
    <t>Average Productivity : 21.4</t>
  </si>
  <si>
    <t>8033590.0:SIMPSON STRONG-TIE SAS - 0.0x250.0x1.5</t>
  </si>
  <si>
    <t>8046459.0:SIMPSON STRONG-TIE SAS - 0.0x540.0x2.5</t>
  </si>
  <si>
    <t>8033497.0:SIMPSON STRONG-TIE SAS - 0.0x260.0x1.5</t>
  </si>
  <si>
    <t>8011976.0:MAGNA LORRAINE - 0.0x705.0x3.5</t>
  </si>
  <si>
    <t>8115174.0:PAULSTRA - 0.0x130.0x0.8</t>
  </si>
  <si>
    <t>Details for : R1 proto - Postes Backlog</t>
  </si>
  <si>
    <t>Sum Tonnes : 35.14</t>
  </si>
  <si>
    <t>8110531.0:ARCELORMITTAL PROTO FLORANGE - 0.0x1273.0x0.73</t>
  </si>
  <si>
    <t>Sum Postes : 0.82</t>
  </si>
  <si>
    <t>8113178.0:ARCELORMITTAL PROTO FLORANGE - 0.0x570.0x1.6</t>
  </si>
  <si>
    <t>Average Productivity : 5.71</t>
  </si>
  <si>
    <t>8113491.0:ARCELORMITTAL PROTO FLORANGE - 0.0x1378.0x1.7</t>
  </si>
  <si>
    <t>8114824.0:ARCELORMITTAL PROTO FLORANGE - 0.0x1060.0x3.65</t>
  </si>
  <si>
    <t>8116414.0:ARCELORMITTAL PROTO FLORANGE - 0.0x100.0x0.5</t>
  </si>
  <si>
    <t>Details for : R1 proto - Postes Forecast W</t>
  </si>
  <si>
    <t>Sum Tonnes : 21.0</t>
  </si>
  <si>
    <t>8117172.0:ARCELORMITTAL PROTO FLORANGE - 0.0x411.0x6.0</t>
  </si>
  <si>
    <t>Average Productivity : 4.91</t>
  </si>
  <si>
    <t>Details for : R1 proto - Postes Forecast W1</t>
  </si>
  <si>
    <t>Sum Tonnes : 227.5</t>
  </si>
  <si>
    <t>8111865.0:PEUGEOT CITROEN AUTOMOBILES SA - 0.0x830.0x1.4</t>
  </si>
  <si>
    <t>Sum Postes : 6.14</t>
  </si>
  <si>
    <t>8111866.0:PEUGEOT CITROEN AUTOMOBILES SA - 0.0x838.0x1.4</t>
  </si>
  <si>
    <t>Average Productivity : 4.94</t>
  </si>
  <si>
    <t>8113596.0:ARCELORMITTAL PROTO FLORANGE - 0.0x1250.0x1.6</t>
  </si>
  <si>
    <t>8114822.0:ARCELORMITTAL PROTO FLORANGE - 0.0x1192.0x5.0</t>
  </si>
  <si>
    <t>8115182.0:ARCELORMITTAL PROTO FLORANGE - 0.0x487.0x4.5</t>
  </si>
  <si>
    <t>8115183.0:ARCELORMITTAL PROTO FLORANGE - 0.0x1215.0x3.6</t>
  </si>
  <si>
    <t>8115184.0:ARCELORMITTAL PROTO FLORANGE - 0.0x411.0x6.0</t>
  </si>
  <si>
    <t>8116385.0:ARCELORMITTAL PROTO FLORANGE - 0.0x1192.0x5.8</t>
  </si>
  <si>
    <t>8117450.0:ARCELORMITTAL PROTO FLORANGE - 0.0x388.0x2.6</t>
  </si>
  <si>
    <t>8117752.0:ARCELORMITTAL PROTO FLORANGE - 0.0x1200.0x1.8</t>
  </si>
  <si>
    <t>Details for : R1 proto - Postes Forecast W3</t>
  </si>
  <si>
    <t>Sum Tonnes : 15.73</t>
  </si>
  <si>
    <t>8117545.0:ARCELORMITTAL PROTO FLORANGE - 0.0x484.0x2.0</t>
  </si>
  <si>
    <t>Sum Postes : 0.48</t>
  </si>
  <si>
    <t>8117547.0:ARCELORMITTAL PROTO FLORANGE - 0.0x1015.0x1.5</t>
  </si>
  <si>
    <t>Average Productivity : 4.37</t>
  </si>
  <si>
    <t>8117548.0:ARCELORMITTAL PROTO FLORANGE - 0.0x1037.0x1.5</t>
  </si>
  <si>
    <t>8117549.0:ARCELORMITTAL PROTO FLORANGE - 0.0x701.0x3.0</t>
  </si>
  <si>
    <t>Details for : R1 proto - Postes Forecast W4</t>
  </si>
  <si>
    <t>Sum Tonnes : 6.0</t>
  </si>
  <si>
    <t>8115673.0:ARCELORMITTAL PROTO FLORANGE - 0.0x1780.0x0.6</t>
  </si>
  <si>
    <t>Sum Postes : 0.16</t>
  </si>
  <si>
    <t>Average Productivity : 5.0</t>
  </si>
  <si>
    <t>Details for : R6 serie - Postes Backlog</t>
  </si>
  <si>
    <t>Sum Tonnes : 751.67</t>
  </si>
  <si>
    <t>8055271.0:ArcelorMittal FRANCE - 0.0x1222.0x1.6</t>
  </si>
  <si>
    <t>Sum Postes : 4.41</t>
  </si>
  <si>
    <t>8013523.0:ArcelorMittal FRANCE - 0.0x738.0x0.65</t>
  </si>
  <si>
    <t>Average Productivity : 22.73</t>
  </si>
  <si>
    <t>8057398.0:PROFILES HB SNC - 0.0x75.0x1.5</t>
  </si>
  <si>
    <t>8046452.0:ArcelorMittal FRANCE - 0.0x845.0x1.0</t>
  </si>
  <si>
    <t>8018958.0:ArcelorMittal FRANCE - 0.0x822.0x1.4</t>
  </si>
  <si>
    <t>8059462.0:ArcelorMittal FRANCE - 0.0x828.0x1.0</t>
  </si>
  <si>
    <t>8057714.0:ArcelorMittal FRANCE - 0.0x860.0x1.2</t>
  </si>
  <si>
    <t>8068995.0:ArcelorMittal FRANCE - 0.0x725.0x1.28</t>
  </si>
  <si>
    <t>8059555.0:ArcelorMittal FRANCE - 0.0x760.0x1.0</t>
  </si>
  <si>
    <t>8070533.0:ArcelorMittal FRANCE - 0.0x905.0x1.3</t>
  </si>
  <si>
    <t>8067952.0:ArcelorMittal FRANCE - 0.0x708.0x1.1</t>
  </si>
  <si>
    <t>8015450.0:ArcelorMittal FRANCE - 0.0x875.0x1.17</t>
  </si>
  <si>
    <t>8069304.0:ArcelorMittal FRANCE - 0.0x880.0x1.4</t>
  </si>
  <si>
    <t>8085067.0:ArcelorMittal FRANCE - 0.0x661.0x1.75</t>
  </si>
  <si>
    <t>8085481.0:ArcelorMittal FRANCE - 0.0x790.0x1.2</t>
  </si>
  <si>
    <t>8048714.0:ArcelorMittal FRANCE - 0.0x730.0x1.25</t>
  </si>
  <si>
    <t>8087752.0:ArcelorMittal FRANCE - 0.0x634.0x1.15</t>
  </si>
  <si>
    <t>8087745.0:ArcelorMittal FRANCE - 0.0x1633.0x0.66</t>
  </si>
  <si>
    <t>8088443.0:ArcelorMittal FRANCE - 0.0x880.0x1.4</t>
  </si>
  <si>
    <t>8088589.0:ArcelorMittal FRANCE - 0.0x810.0x0.95</t>
  </si>
  <si>
    <t>8088588.0:ArcelorMittal FRANCE - 0.0x810.0x0.95</t>
  </si>
  <si>
    <t>8087749.0:ArcelorMittal FRANCE - 0.0x883.0x1.5</t>
  </si>
  <si>
    <t>8089477.0:ArcelorMittal FRANCE - 0.0x834.0x1.0</t>
  </si>
  <si>
    <t>8089687.0:ArcelorMittal FRANCE - 0.0x875.0x1.17</t>
  </si>
  <si>
    <t>8088953.0:ArcelorMittal FRANCE - 0.0x693.0x0.95</t>
  </si>
  <si>
    <t>8088439.0:ArcelorMittal FRANCE - 0.0x738.0x0.65</t>
  </si>
  <si>
    <t>8089918.0:ArcelorMittal FRANCE - 0.0x880.0x0.5</t>
  </si>
  <si>
    <t>8090113.0:ArcelorMittal FRANCE - 0.0x845.0x0.8</t>
  </si>
  <si>
    <t>8089812.0:ArcelorMittal FRANCE - 0.0x691.0x0.95</t>
  </si>
  <si>
    <t>8090942.0:ArcelorMittal FRANCE - 0.0x862.0x1.6</t>
  </si>
  <si>
    <t>8087318.0:ArcelorMittal FRANCE - 0.0x794.0x1.2</t>
  </si>
  <si>
    <t>8089692.0:ArcelorMittal FRANCE - 0.0x782.0x2.0</t>
  </si>
  <si>
    <t>8105883.0:ArcelorMittal FRANCE - 0.0x879.0x1.0</t>
  </si>
  <si>
    <t>8090282.0:ArcelorMittal FRANCE - 0.0x730.0x1.25</t>
  </si>
  <si>
    <t>8107017.0:ArcelorMittal FRANCE - 0.0x900.0x1.0</t>
  </si>
  <si>
    <t>8110915.0:ArcelorMittal FRANCE - 0.0x820.0x1.2</t>
  </si>
  <si>
    <t>8089688.0:ArcelorMittal FRANCE - 0.0x708.0x1.1</t>
  </si>
  <si>
    <t>8112617.0:ArcelorMittal FRANCE - 0.0x856.0x2.0</t>
  </si>
  <si>
    <t>8112616.0:ArcelorMittal FRANCE - 0.0x805.0x1.5</t>
  </si>
  <si>
    <t>8113227.0:ArcelorMittal FRANCE - 0.0x816.0x1.5</t>
  </si>
  <si>
    <t>8113496.0:ArcelorMittal FRANCE - 0.0x730.0x1.25</t>
  </si>
  <si>
    <t>8089558.0:ArcelorMittal FRANCE - 0.0x880.0x1.4</t>
  </si>
  <si>
    <t>8114438.0:GESTAMP NOURY S.A. - 0.0x296.2x1.8</t>
  </si>
  <si>
    <t>8115564.0:ArcelorMittal FRANCE - 0.0x890.0x1.2</t>
  </si>
  <si>
    <t>8115546.0:GESTAMP SERMAISES - 0.0x840.0x1.96</t>
  </si>
  <si>
    <t>8105389.0:ArcelorMittal FRANCE - 0.0x883.0x1.5</t>
  </si>
  <si>
    <t>8011972.0:TRICO BELGIUM SA - 0.0x270.0x2.0</t>
  </si>
  <si>
    <t>8012089.0:UNIPRES MAGNETTO CORPORATION - 0.0x663.0x1.8</t>
  </si>
  <si>
    <t>8012106.0:UNIPRES MAGNETTO CORPORATION - 0.0x950.0x1.4</t>
  </si>
  <si>
    <t>8012108.0:UNIPRES MAGNETTO CORPORATION - 0.0x850.0x1.4</t>
  </si>
  <si>
    <t>8012111.0:UNIPRES MAGNETTO CORPORATION - 0.0x1243.0x1.0</t>
  </si>
  <si>
    <t>8015927.0:TRICO BELGIUM SA - 0.0x332.0x2.0</t>
  </si>
  <si>
    <t>8012090.0:UNIPRES MAGNETTO CORPORATION - 0.0x903.0x1.4</t>
  </si>
  <si>
    <t>8058635.0:MAGNA LORRAINE - 0.0x690.0x1.15</t>
  </si>
  <si>
    <t>8055856.0:NPL SASU - 0.0x130.0x2.0</t>
  </si>
  <si>
    <t>8114953.0:GESTAMP NOURY S.A. - 0.0x157.3x1.8</t>
  </si>
  <si>
    <t>Details for : R6 serie - Postes Forecast W</t>
  </si>
  <si>
    <t>Sum Tonnes : 474.63</t>
  </si>
  <si>
    <t>Sum Postes : 2.62</t>
  </si>
  <si>
    <t>Average Productivity : 24.15</t>
  </si>
  <si>
    <t>8115654.0:ArcelorMittal FRANCE - 0.0x790.0x1.2</t>
  </si>
  <si>
    <t>8089514.0:ArcelorMittal FRANCE - 0.0x828.0x1.0</t>
  </si>
  <si>
    <t>8110801.0:ArcelorMittal FRANCE - 0.0x850.0x1.8</t>
  </si>
  <si>
    <t>8088952.0:ArcelorMittal FRANCE - 0.0x880.0x0.85</t>
  </si>
  <si>
    <t>8012273.0:BAOMARC - 0.0x371.0x1.5</t>
  </si>
  <si>
    <t>8012274.0:BAOMARC - 0.0x286.7x1.5</t>
  </si>
  <si>
    <t>8011914.0:MAGNA LORRAINE - 0.0x652.0x1.5</t>
  </si>
  <si>
    <t>8011924.0:BAOMARC - 0.0x497.8x1.5</t>
  </si>
  <si>
    <t>8011891.0:BAOMARC - 0.0x566.8x1.9</t>
  </si>
  <si>
    <t>8012107.0:UNIPRES MAGNETTO CORPORATION - 0.0x1054.0x1.6</t>
  </si>
  <si>
    <t>8012114.0:UNIPRES MAGNETTO CORPORATION - 0.0x1500.0x1.2</t>
  </si>
  <si>
    <t>8014734.0:UNIPRES MAGNETTO CORPORATION - 0.0x755.0x2.2</t>
  </si>
  <si>
    <t>8068165.0:MAGNA LORRAINE - 0.0x815.0x0.6</t>
  </si>
  <si>
    <t>8056282.0:NPL SASU - 0.0x514.0x2.5</t>
  </si>
  <si>
    <t>8108338.0:ARCELORMITTAL TB LORRAINE SAS - 0.0x419.0x1.4</t>
  </si>
  <si>
    <t>Details for : R6 serie - Postes Forecast W1</t>
  </si>
  <si>
    <t>Sum Tonnes : 559.51</t>
  </si>
  <si>
    <t>8028440.0:VIESSMANN FAULQUEMONT SAS - 0.0x103.1x1.5</t>
  </si>
  <si>
    <t>Sum Postes : 3.12</t>
  </si>
  <si>
    <t>8013657.0:Häseler Metall technik GmbH - 0.0x280.0x0.7</t>
  </si>
  <si>
    <t>Average Productivity : 23.91</t>
  </si>
  <si>
    <t>8115718.0:GESTAMP SERMAISES - 0.0x378.0x1.4</t>
  </si>
  <si>
    <t>8115730.0:GESTAMP SERMAISES - 0.0x380.0x1.4</t>
  </si>
  <si>
    <t>8113952.0:GESTAMP SERMAISES - 0.0x130.0x1.4</t>
  </si>
  <si>
    <t>8115733.0:GESTAMP SERMAISES - 0.0x220.0x1.5</t>
  </si>
  <si>
    <t>8088484.0:ArcelorMittal FRANCE - 0.0x877.0x1.2</t>
  </si>
  <si>
    <t>8115019.0:GESTAMP SERMAISES - 0.0x330.0x1.4</t>
  </si>
  <si>
    <t>8013865.0:GESTAMP NOURY S.A. - 0.0x280.4x1.05</t>
  </si>
  <si>
    <t>8011839.0:UNIPRES MAGNETTO CORPORATION - 0.0x217.0x1.8</t>
  </si>
  <si>
    <t>8012074.0:GESTAMP NOURY S.A. - 0.0x912.0x1.2</t>
  </si>
  <si>
    <t>8012088.0:UNIPRES MAGNETTO CORPORATION - 0.0x707.0x1.8</t>
  </si>
  <si>
    <t>8012110.0:UNIPRES MAGNETTO CORPORATION - 0.0x1080.0x1.8</t>
  </si>
  <si>
    <t>8013650.0:EUROSTAMP S.A - 0.0x480.0x2.2</t>
  </si>
  <si>
    <t>8014244.0:SNOP VILLEPINTE - 0.0x207.8x1.15</t>
  </si>
  <si>
    <t>8014336.0:SNOP VILLEPINTE - 0.0x106.8x1.05</t>
  </si>
  <si>
    <t>8012383.0:WAGON AUTOMOTIVE - 0.0x650.0x0.75</t>
  </si>
  <si>
    <t>8013889.0:GESTAMP NOURY S.A. - 0.0x226.5x1.6</t>
  </si>
  <si>
    <t>8014863.0:UNIPRES MAGNETTO CORPORATION - 0.0x1600.0x1.2</t>
  </si>
  <si>
    <t>8023002.0:BAOMARC - 0.0x205.8x1.2</t>
  </si>
  <si>
    <t>8014842.0:MAGNA LORRAINE - 0.0x178.0x1.35</t>
  </si>
  <si>
    <t>8012371.0:MAGNA LORRAINE - 0.0x283.0x1.05</t>
  </si>
  <si>
    <t>8091293.0:MAGNA LORRAINE - 0.0x710.0x0.95</t>
  </si>
  <si>
    <t>Details for : R6 serie - Postes Forecast W2</t>
  </si>
  <si>
    <t>Sum Tonnes : 478.52</t>
  </si>
  <si>
    <t>Sum Postes : 2.92</t>
  </si>
  <si>
    <t>8114594.0:ArcelorMittal FRANCE - 0.0x809.0x1.9</t>
  </si>
  <si>
    <t>Average Productivity : 21.85</t>
  </si>
  <si>
    <t>8089319.0:ArcelorMittal FRANCE - 0.0x885.0x1.8</t>
  </si>
  <si>
    <t>8011919.0:BAOMARC - 0.0x185.0x1.3</t>
  </si>
  <si>
    <t>8011960.0:EUROSTAMP S.A - 0.0x586.0x1.0</t>
  </si>
  <si>
    <t>8014246.0:SNOP VILLEPINTE - 0.0x65.5x1.5</t>
  </si>
  <si>
    <t>8058636.0:MAGNA LORRAINE - 0.0x510.0x0.6</t>
  </si>
  <si>
    <t>8083083.0:RENAULT S.A.S - 0.0x725.0x0.65</t>
  </si>
  <si>
    <t>8086194.0:MA POLSKA - 0.0x184.3x1.6</t>
  </si>
  <si>
    <t>8086196.0:MA POLSKA - 0.0x227.5x1.6</t>
  </si>
  <si>
    <t>8088356.0:RENAULT S.A.S - 0.0x390.0x0.65</t>
  </si>
  <si>
    <t>Details for : R6 serie - Postes Forecast W3</t>
  </si>
  <si>
    <t>Sum Tonnes : 393.95</t>
  </si>
  <si>
    <t>Sum Postes : 2.42</t>
  </si>
  <si>
    <t>Average Productivity : 21.71</t>
  </si>
  <si>
    <t>8011852.0:BAOMARC - 0.0x193.1x1.2</t>
  </si>
  <si>
    <t>8012112.0:UNIPRES MAGNETTO CORPORATION - 0.0x969.0x1.2</t>
  </si>
  <si>
    <t>8011961.0:EUROSTAMP S.A - 0.0x535.0x1.2</t>
  </si>
  <si>
    <t>8013920.0:MAGNA LORRAINE - 0.0x450.0x1.3</t>
  </si>
  <si>
    <t>8022750.0:ARCELORMITTAL TB LORRAINE SAS - 0.0x521.0x1.6</t>
  </si>
  <si>
    <t>Details for : R6 serie - Postes Forecast W4</t>
  </si>
  <si>
    <t>Sum Tonnes : 393.6</t>
  </si>
  <si>
    <t>Sum Postes : 2.48</t>
  </si>
  <si>
    <t>8011849.0:BAOMARC - 0.0x120.0x1.2</t>
  </si>
  <si>
    <t>Average Productivity : 21.16</t>
  </si>
  <si>
    <t>8012109.0:UNIPRES MAGNETTO CORPORATION - 0.0x742.0x1.8</t>
  </si>
  <si>
    <t>8012243.0:UNIPRES MAGNETTO CORPORATION - 0.0x875.0x1.8</t>
  </si>
  <si>
    <t>8022953.0:BAOMARC - 0.0x330.3x1.8</t>
  </si>
  <si>
    <t>8088347.0:RENAULT S.A.S - 0.0x505.0x2.0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</si>
</sst>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</font>
    <font>
      <sz val="11"/>
      <color rgb="FF000000"/>
      <name val="Calibri"/>
    </font>
    <font>
      <sz val="12"/>
      <color theme="1"/>
      <name val="Calibri"/>
      <family val="2"/>
      <scheme val="minor"/>
    </font>
    <font>
      <sz val="8"/>
      <color theme="1"/>
      <name val="Consolas"/>
      <family val="3"/>
    </font>
    <font>
      <b/>
      <sz val="11"/>
      <name val="Calibri"/>
    </font>
    <font>
      <sz val="11"/>
      <color rgb="FF000000"/>
      <name val="Calibri"/>
    </font>
    <font>
      <b/>
      <sz val="11"/>
      <name val="Calibri"/>
    </font>
  </fonts>
  <fills count="2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CCCC"/>
        <bgColor rgb="FFFFCCCC"/>
      </patternFill>
    </fill>
    <fill>
      <patternFill patternType="solid">
        <fgColor rgb="FFCCFFCC"/>
        <bgColor rgb="FFCCFFCC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/>
  </cellStyleXfs>
  <cellXfs count="147">
    <xf numFmtId="0" fontId="0" fillId="0" borderId="0" xfId="0"/>
    <xf numFmtId="2" fontId="0" fillId="0" borderId="0" xfId="0" applyNumberFormat="1"/>
    <xf numFmtId="0" fontId="0" fillId="5" borderId="7" xfId="0" applyFill="1" applyBorder="1" applyAlignment="1">
      <alignment horizontal="center"/>
    </xf>
    <xf numFmtId="0" fontId="0" fillId="0" borderId="6" xfId="0" applyBorder="1"/>
    <xf numFmtId="0" fontId="0" fillId="0" borderId="3" xfId="0" applyBorder="1"/>
    <xf numFmtId="2" fontId="0" fillId="2" borderId="10" xfId="0" applyNumberFormat="1" applyFill="1" applyBorder="1" applyAlignment="1">
      <alignment horizontal="center" vertical="center"/>
    </xf>
    <xf numFmtId="2" fontId="0" fillId="0" borderId="8" xfId="0" applyNumberFormat="1" applyBorder="1"/>
    <xf numFmtId="2" fontId="0" fillId="7" borderId="10" xfId="0" applyNumberFormat="1" applyFill="1" applyBorder="1" applyAlignment="1">
      <alignment horizontal="center" vertical="center"/>
    </xf>
    <xf numFmtId="2" fontId="0" fillId="7" borderId="11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3" xfId="0" applyBorder="1" applyAlignment="1">
      <alignment vertical="center"/>
    </xf>
    <xf numFmtId="2" fontId="0" fillId="7" borderId="8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2" fontId="0" fillId="7" borderId="10" xfId="0" applyNumberFormat="1" applyFill="1" applyBorder="1"/>
    <xf numFmtId="2" fontId="0" fillId="4" borderId="12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3" fillId="8" borderId="7" xfId="0" applyNumberFormat="1" applyFont="1" applyFill="1" applyBorder="1" applyAlignment="1">
      <alignment horizontal="center" vertical="center"/>
    </xf>
    <xf numFmtId="2" fontId="3" fillId="9" borderId="7" xfId="0" applyNumberFormat="1" applyFont="1" applyFill="1" applyBorder="1" applyAlignment="1">
      <alignment horizontal="center" vertical="center"/>
    </xf>
    <xf numFmtId="2" fontId="0" fillId="0" borderId="6" xfId="0" applyNumberFormat="1" applyBorder="1"/>
    <xf numFmtId="2" fontId="0" fillId="0" borderId="20" xfId="0" applyNumberFormat="1" applyBorder="1"/>
    <xf numFmtId="2" fontId="4" fillId="0" borderId="0" xfId="0" applyNumberFormat="1" applyFont="1"/>
    <xf numFmtId="2" fontId="4" fillId="0" borderId="11" xfId="0" applyNumberFormat="1" applyFont="1" applyBorder="1"/>
    <xf numFmtId="0" fontId="4" fillId="10" borderId="10" xfId="0" applyFont="1" applyFill="1" applyBorder="1"/>
    <xf numFmtId="0" fontId="4" fillId="10" borderId="2" xfId="0" applyFont="1" applyFill="1" applyBorder="1"/>
    <xf numFmtId="2" fontId="0" fillId="2" borderId="8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0" borderId="19" xfId="0" applyNumberFormat="1" applyBorder="1"/>
    <xf numFmtId="0" fontId="0" fillId="0" borderId="13" xfId="0" applyBorder="1" applyAlignment="1">
      <alignment vertical="center"/>
    </xf>
    <xf numFmtId="2" fontId="0" fillId="3" borderId="12" xfId="0" applyNumberFormat="1" applyFill="1" applyBorder="1" applyAlignment="1">
      <alignment horizontal="center" vertical="center"/>
    </xf>
    <xf numFmtId="2" fontId="0" fillId="4" borderId="18" xfId="0" applyNumberFormat="1" applyFill="1" applyBorder="1" applyAlignment="1">
      <alignment horizontal="center" vertical="center"/>
    </xf>
    <xf numFmtId="0" fontId="0" fillId="0" borderId="24" xfId="0" applyBorder="1"/>
    <xf numFmtId="0" fontId="0" fillId="0" borderId="23" xfId="0" applyBorder="1"/>
    <xf numFmtId="0" fontId="4" fillId="0" borderId="8" xfId="0" applyFont="1" applyBorder="1"/>
    <xf numFmtId="0" fontId="4" fillId="0" borderId="10" xfId="0" applyFont="1" applyBorder="1"/>
    <xf numFmtId="0" fontId="0" fillId="0" borderId="22" xfId="0" applyBorder="1"/>
    <xf numFmtId="2" fontId="0" fillId="11" borderId="7" xfId="0" applyNumberFormat="1" applyFill="1" applyBorder="1"/>
    <xf numFmtId="0" fontId="0" fillId="0" borderId="27" xfId="0" applyBorder="1"/>
    <xf numFmtId="0" fontId="0" fillId="0" borderId="26" xfId="0" applyBorder="1"/>
    <xf numFmtId="2" fontId="0" fillId="12" borderId="5" xfId="0" applyNumberFormat="1" applyFill="1" applyBorder="1" applyAlignment="1">
      <alignment horizontal="center"/>
    </xf>
    <xf numFmtId="0" fontId="0" fillId="0" borderId="25" xfId="0" applyBorder="1"/>
    <xf numFmtId="2" fontId="6" fillId="13" borderId="2" xfId="0" applyNumberFormat="1" applyFont="1" applyFill="1" applyBorder="1" applyAlignment="1">
      <alignment horizontal="center" vertical="center"/>
    </xf>
    <xf numFmtId="2" fontId="6" fillId="13" borderId="0" xfId="0" applyNumberFormat="1" applyFont="1" applyFill="1" applyAlignment="1">
      <alignment horizontal="center" vertical="center"/>
    </xf>
    <xf numFmtId="2" fontId="0" fillId="4" borderId="29" xfId="0" applyNumberFormat="1" applyFill="1" applyBorder="1" applyAlignment="1">
      <alignment horizontal="center" vertical="center"/>
    </xf>
    <xf numFmtId="2" fontId="0" fillId="4" borderId="28" xfId="0" applyNumberFormat="1" applyFill="1" applyBorder="1" applyAlignment="1">
      <alignment horizontal="center" vertical="center"/>
    </xf>
    <xf numFmtId="2" fontId="6" fillId="13" borderId="6" xfId="0" applyNumberFormat="1" applyFont="1" applyFill="1" applyBorder="1" applyAlignment="1">
      <alignment horizontal="center" vertical="center"/>
    </xf>
    <xf numFmtId="2" fontId="0" fillId="14" borderId="1" xfId="0" applyNumberFormat="1" applyFill="1" applyBorder="1"/>
    <xf numFmtId="2" fontId="5" fillId="14" borderId="1" xfId="0" applyNumberFormat="1" applyFont="1" applyFill="1" applyBorder="1" applyAlignment="1">
      <alignment horizontal="center" vertical="center"/>
    </xf>
    <xf numFmtId="2" fontId="0" fillId="14" borderId="12" xfId="0" applyNumberFormat="1" applyFill="1" applyBorder="1" applyAlignment="1">
      <alignment horizontal="center" vertical="center"/>
    </xf>
    <xf numFmtId="2" fontId="5" fillId="14" borderId="16" xfId="0" applyNumberFormat="1" applyFont="1" applyFill="1" applyBorder="1" applyAlignment="1">
      <alignment horizontal="center" vertical="center"/>
    </xf>
    <xf numFmtId="2" fontId="0" fillId="14" borderId="17" xfId="0" applyNumberFormat="1" applyFill="1" applyBorder="1" applyAlignment="1">
      <alignment horizontal="center" vertical="center"/>
    </xf>
    <xf numFmtId="2" fontId="0" fillId="14" borderId="21" xfId="0" applyNumberFormat="1" applyFill="1" applyBorder="1" applyAlignment="1">
      <alignment horizontal="center" vertical="center"/>
    </xf>
    <xf numFmtId="2" fontId="5" fillId="14" borderId="34" xfId="0" applyNumberFormat="1" applyFont="1" applyFill="1" applyBorder="1" applyAlignment="1">
      <alignment horizontal="center" vertical="center"/>
    </xf>
    <xf numFmtId="2" fontId="0" fillId="14" borderId="5" xfId="0" applyNumberFormat="1" applyFill="1" applyBorder="1"/>
    <xf numFmtId="2" fontId="5" fillId="14" borderId="5" xfId="0" applyNumberFormat="1" applyFont="1" applyFill="1" applyBorder="1" applyAlignment="1">
      <alignment horizontal="center" vertical="center"/>
    </xf>
    <xf numFmtId="2" fontId="0" fillId="14" borderId="0" xfId="0" applyNumberFormat="1" applyFill="1" applyAlignment="1">
      <alignment horizontal="center" vertical="center"/>
    </xf>
    <xf numFmtId="2" fontId="5" fillId="14" borderId="14" xfId="0" applyNumberFormat="1" applyFont="1" applyFill="1" applyBorder="1" applyAlignment="1">
      <alignment horizontal="center" vertical="center"/>
    </xf>
    <xf numFmtId="2" fontId="0" fillId="14" borderId="6" xfId="0" applyNumberFormat="1" applyFill="1" applyBorder="1" applyAlignment="1">
      <alignment horizontal="center" vertical="center"/>
    </xf>
    <xf numFmtId="2" fontId="5" fillId="14" borderId="0" xfId="0" applyNumberFormat="1" applyFont="1" applyFill="1" applyAlignment="1">
      <alignment horizontal="center" vertical="center"/>
    </xf>
    <xf numFmtId="2" fontId="0" fillId="14" borderId="15" xfId="0" applyNumberFormat="1" applyFill="1" applyBorder="1" applyAlignment="1">
      <alignment horizontal="center" vertical="center"/>
    </xf>
    <xf numFmtId="2" fontId="5" fillId="14" borderId="30" xfId="0" applyNumberFormat="1" applyFont="1" applyFill="1" applyBorder="1" applyAlignment="1">
      <alignment horizontal="center" vertical="center"/>
    </xf>
    <xf numFmtId="2" fontId="0" fillId="14" borderId="31" xfId="0" applyNumberFormat="1" applyFill="1" applyBorder="1"/>
    <xf numFmtId="2" fontId="0" fillId="14" borderId="33" xfId="0" applyNumberFormat="1" applyFill="1" applyBorder="1"/>
    <xf numFmtId="2" fontId="0" fillId="12" borderId="33" xfId="0" applyNumberFormat="1" applyFill="1" applyBorder="1" applyAlignment="1">
      <alignment horizontal="center"/>
    </xf>
    <xf numFmtId="2" fontId="0" fillId="12" borderId="32" xfId="0" applyNumberFormat="1" applyFill="1" applyBorder="1" applyAlignment="1">
      <alignment horizontal="center"/>
    </xf>
    <xf numFmtId="0" fontId="8" fillId="12" borderId="33" xfId="0" applyFont="1" applyFill="1" applyBorder="1" applyAlignment="1">
      <alignment horizontal="center" vertical="center"/>
    </xf>
    <xf numFmtId="0" fontId="8" fillId="12" borderId="32" xfId="0" applyFont="1" applyFill="1" applyBorder="1" applyAlignment="1">
      <alignment horizontal="center" vertical="center"/>
    </xf>
    <xf numFmtId="2" fontId="0" fillId="6" borderId="7" xfId="0" applyNumberFormat="1" applyFill="1" applyBorder="1" applyAlignment="1">
      <alignment horizontal="center"/>
    </xf>
    <xf numFmtId="2" fontId="0" fillId="6" borderId="7" xfId="0" applyNumberFormat="1" applyFill="1" applyBorder="1" applyAlignment="1">
      <alignment horizontal="center" vertical="center"/>
    </xf>
    <xf numFmtId="2" fontId="0" fillId="6" borderId="31" xfId="0" applyNumberFormat="1" applyFill="1" applyBorder="1" applyAlignment="1">
      <alignment horizontal="center" vertical="center"/>
    </xf>
    <xf numFmtId="2" fontId="0" fillId="14" borderId="32" xfId="0" applyNumberFormat="1" applyFill="1" applyBorder="1" applyAlignment="1">
      <alignment horizontal="center"/>
    </xf>
    <xf numFmtId="2" fontId="0" fillId="15" borderId="7" xfId="0" applyNumberFormat="1" applyFill="1" applyBorder="1"/>
    <xf numFmtId="0" fontId="0" fillId="0" borderId="41" xfId="0" applyBorder="1"/>
    <xf numFmtId="0" fontId="0" fillId="0" borderId="40" xfId="0" applyBorder="1"/>
    <xf numFmtId="2" fontId="0" fillId="0" borderId="39" xfId="0" applyNumberFormat="1" applyBorder="1"/>
    <xf numFmtId="2" fontId="0" fillId="0" borderId="38" xfId="0" applyNumberFormat="1" applyBorder="1"/>
    <xf numFmtId="2" fontId="0" fillId="2" borderId="7" xfId="0" applyNumberFormat="1" applyFill="1" applyBorder="1" applyAlignment="1">
      <alignment horizontal="center"/>
    </xf>
    <xf numFmtId="2" fontId="0" fillId="16" borderId="11" xfId="0" applyNumberFormat="1" applyFill="1" applyBorder="1" applyAlignment="1">
      <alignment horizontal="center" vertical="center"/>
    </xf>
    <xf numFmtId="2" fontId="0" fillId="16" borderId="6" xfId="0" applyNumberFormat="1" applyFill="1" applyBorder="1"/>
    <xf numFmtId="2" fontId="0" fillId="16" borderId="3" xfId="0" applyNumberFormat="1" applyFill="1" applyBorder="1"/>
    <xf numFmtId="2" fontId="7" fillId="17" borderId="7" xfId="0" applyNumberFormat="1" applyFont="1" applyFill="1" applyBorder="1" applyAlignment="1">
      <alignment horizontal="center" vertical="center"/>
    </xf>
    <xf numFmtId="0" fontId="7" fillId="18" borderId="7" xfId="0" applyFont="1" applyFill="1" applyBorder="1" applyAlignment="1">
      <alignment horizontal="center" vertical="center"/>
    </xf>
    <xf numFmtId="2" fontId="7" fillId="18" borderId="7" xfId="0" applyNumberFormat="1" applyFont="1" applyFill="1" applyBorder="1"/>
    <xf numFmtId="2" fontId="7" fillId="18" borderId="11" xfId="0" applyNumberFormat="1" applyFont="1" applyFill="1" applyBorder="1"/>
    <xf numFmtId="2" fontId="10" fillId="13" borderId="5" xfId="0" applyNumberFormat="1" applyFont="1" applyFill="1" applyBorder="1" applyAlignment="1">
      <alignment horizontal="center" vertical="center"/>
    </xf>
    <xf numFmtId="2" fontId="10" fillId="12" borderId="0" xfId="0" applyNumberFormat="1" applyFont="1" applyFill="1" applyAlignment="1">
      <alignment horizontal="center" vertical="center"/>
    </xf>
    <xf numFmtId="2" fontId="10" fillId="12" borderId="6" xfId="0" applyNumberFormat="1" applyFont="1" applyFill="1" applyBorder="1" applyAlignment="1">
      <alignment horizontal="center" vertical="center"/>
    </xf>
    <xf numFmtId="2" fontId="10" fillId="13" borderId="0" xfId="0" applyNumberFormat="1" applyFont="1" applyFill="1" applyAlignment="1">
      <alignment horizontal="center" vertical="center"/>
    </xf>
    <xf numFmtId="2" fontId="10" fillId="12" borderId="15" xfId="0" applyNumberFormat="1" applyFont="1" applyFill="1" applyBorder="1" applyAlignment="1">
      <alignment horizontal="center" vertical="center"/>
    </xf>
    <xf numFmtId="2" fontId="10" fillId="13" borderId="30" xfId="0" applyNumberFormat="1" applyFont="1" applyFill="1" applyBorder="1" applyAlignment="1">
      <alignment horizontal="center" vertical="center"/>
    </xf>
    <xf numFmtId="0" fontId="10" fillId="12" borderId="0" xfId="1" applyFont="1" applyFill="1" applyAlignment="1">
      <alignment horizontal="center"/>
    </xf>
    <xf numFmtId="2" fontId="0" fillId="23" borderId="6" xfId="0" applyNumberFormat="1" applyFill="1" applyBorder="1"/>
    <xf numFmtId="2" fontId="0" fillId="24" borderId="6" xfId="0" applyNumberFormat="1" applyFill="1" applyBorder="1"/>
    <xf numFmtId="2" fontId="4" fillId="23" borderId="11" xfId="0" applyNumberFormat="1" applyFont="1" applyFill="1" applyBorder="1"/>
    <xf numFmtId="0" fontId="11" fillId="19" borderId="47" xfId="0" applyFont="1" applyFill="1" applyBorder="1"/>
    <xf numFmtId="0" fontId="11" fillId="19" borderId="44" xfId="0" applyFont="1" applyFill="1" applyBorder="1"/>
    <xf numFmtId="0" fontId="11" fillId="19" borderId="50" xfId="0" applyFont="1" applyFill="1" applyBorder="1"/>
    <xf numFmtId="0" fontId="0" fillId="20" borderId="49" xfId="0" applyFill="1" applyBorder="1"/>
    <xf numFmtId="0" fontId="11" fillId="21" borderId="43" xfId="0" applyFont="1" applyFill="1" applyBorder="1"/>
    <xf numFmtId="0" fontId="11" fillId="21" borderId="46" xfId="0" applyFont="1" applyFill="1" applyBorder="1"/>
    <xf numFmtId="0" fontId="11" fillId="22" borderId="43" xfId="0" applyFont="1" applyFill="1" applyBorder="1"/>
    <xf numFmtId="0" fontId="11" fillId="22" borderId="46" xfId="0" applyFont="1" applyFill="1" applyBorder="1"/>
    <xf numFmtId="0" fontId="0" fillId="0" borderId="43" xfId="0" applyBorder="1"/>
    <xf numFmtId="0" fontId="0" fillId="0" borderId="46" xfId="0" applyBorder="1"/>
    <xf numFmtId="0" fontId="0" fillId="0" borderId="49" xfId="0" applyBorder="1"/>
    <xf numFmtId="0" fontId="0" fillId="0" borderId="48" xfId="0" applyBorder="1"/>
    <xf numFmtId="0" fontId="0" fillId="0" borderId="45" xfId="0" applyBorder="1"/>
    <xf numFmtId="0" fontId="0" fillId="0" borderId="51" xfId="0" applyBorder="1"/>
    <xf numFmtId="0" fontId="11" fillId="22" borderId="45" xfId="0" applyFont="1" applyFill="1" applyBorder="1"/>
    <xf numFmtId="0" fontId="11" fillId="22" borderId="51" xfId="0" applyFont="1" applyFill="1" applyBorder="1"/>
    <xf numFmtId="0" fontId="11" fillId="21" borderId="45" xfId="0" applyFont="1" applyFill="1" applyBorder="1"/>
    <xf numFmtId="0" fontId="11" fillId="21" borderId="51" xfId="0" applyFont="1" applyFill="1" applyBorder="1"/>
    <xf numFmtId="0" fontId="0" fillId="20" borderId="48" xfId="0" applyFill="1" applyBorder="1"/>
    <xf numFmtId="2" fontId="0" fillId="4" borderId="9" xfId="0" applyNumberFormat="1" applyFill="1" applyBorder="1" applyAlignment="1">
      <alignment horizontal="center"/>
    </xf>
    <xf numFmtId="0" fontId="0" fillId="0" borderId="4" xfId="0" applyBorder="1"/>
    <xf numFmtId="0" fontId="0" fillId="5" borderId="7" xfId="0" applyFill="1" applyBorder="1" applyAlignment="1">
      <alignment horizontal="center"/>
    </xf>
    <xf numFmtId="0" fontId="0" fillId="0" borderId="11" xfId="0" applyBorder="1"/>
    <xf numFmtId="2" fontId="0" fillId="12" borderId="6" xfId="0" applyNumberFormat="1" applyFill="1" applyBorder="1" applyAlignment="1">
      <alignment horizontal="center"/>
    </xf>
    <xf numFmtId="0" fontId="0" fillId="0" borderId="6" xfId="0" applyBorder="1"/>
    <xf numFmtId="2" fontId="0" fillId="15" borderId="7" xfId="0" applyNumberFormat="1" applyFill="1" applyBorder="1" applyAlignment="1">
      <alignment horizontal="center"/>
    </xf>
    <xf numFmtId="2" fontId="0" fillId="15" borderId="10" xfId="0" applyNumberFormat="1" applyFill="1" applyBorder="1" applyAlignment="1">
      <alignment horizontal="center"/>
    </xf>
    <xf numFmtId="0" fontId="0" fillId="0" borderId="8" xfId="0" applyBorder="1"/>
    <xf numFmtId="2" fontId="0" fillId="15" borderId="11" xfId="0" applyNumberFormat="1" applyFill="1" applyBorder="1" applyAlignment="1">
      <alignment horizontal="center"/>
    </xf>
    <xf numFmtId="2" fontId="0" fillId="15" borderId="8" xfId="0" applyNumberFormat="1" applyFill="1" applyBorder="1" applyAlignment="1">
      <alignment horizontal="center"/>
    </xf>
    <xf numFmtId="2" fontId="0" fillId="12" borderId="35" xfId="0" applyNumberFormat="1" applyFill="1" applyBorder="1" applyAlignment="1">
      <alignment horizontal="center"/>
    </xf>
    <xf numFmtId="0" fontId="0" fillId="0" borderId="3" xfId="0" applyBorder="1"/>
    <xf numFmtId="2" fontId="0" fillId="12" borderId="3" xfId="0" applyNumberFormat="1" applyFill="1" applyBorder="1" applyAlignment="1">
      <alignment horizontal="center"/>
    </xf>
    <xf numFmtId="2" fontId="0" fillId="12" borderId="13" xfId="0" applyNumberFormat="1" applyFill="1" applyBorder="1" applyAlignment="1">
      <alignment horizontal="center"/>
    </xf>
    <xf numFmtId="0" fontId="0" fillId="0" borderId="13" xfId="0" applyBorder="1"/>
    <xf numFmtId="2" fontId="0" fillId="12" borderId="2" xfId="0" applyNumberFormat="1" applyFill="1" applyBorder="1" applyAlignment="1">
      <alignment horizontal="center"/>
    </xf>
    <xf numFmtId="2" fontId="0" fillId="12" borderId="36" xfId="0" applyNumberFormat="1" applyFill="1" applyBorder="1" applyAlignment="1">
      <alignment horizontal="center"/>
    </xf>
    <xf numFmtId="2" fontId="0" fillId="12" borderId="0" xfId="0" applyNumberFormat="1" applyFill="1" applyAlignment="1">
      <alignment horizontal="center"/>
    </xf>
    <xf numFmtId="2" fontId="0" fillId="0" borderId="0" xfId="0" applyNumberFormat="1"/>
    <xf numFmtId="2" fontId="0" fillId="12" borderId="37" xfId="0" applyNumberFormat="1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0" borderId="18" xfId="0" applyBorder="1"/>
    <xf numFmtId="0" fontId="1" fillId="2" borderId="7" xfId="0" applyFont="1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0" borderId="28" xfId="0" applyBorder="1"/>
    <xf numFmtId="2" fontId="0" fillId="2" borderId="42" xfId="0" applyNumberFormat="1" applyFill="1" applyBorder="1" applyAlignment="1">
      <alignment horizontal="center"/>
    </xf>
    <xf numFmtId="2" fontId="0" fillId="3" borderId="42" xfId="0" applyNumberFormat="1" applyFill="1" applyBorder="1" applyAlignment="1">
      <alignment horizontal="center"/>
    </xf>
    <xf numFmtId="2" fontId="0" fillId="4" borderId="42" xfId="0" applyNumberFormat="1" applyFill="1" applyBorder="1" applyAlignment="1">
      <alignment horizontal="center"/>
    </xf>
    <xf numFmtId="2" fontId="0" fillId="4" borderId="18" xfId="0" applyNumberFormat="1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9" fillId="22" borderId="43" xfId="0" applyFont="1" applyFill="1" applyBorder="1"/>
  </cellXfs>
  <cellStyles count="2">
    <cellStyle name="Lien hypertexte" xfId="1" builtinId="8"/>
    <cellStyle name="Normal" xfId="0" builtinId="0"/>
  </cellStyles>
  <dxfs count="2"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T88"/>
  <sheetViews>
    <sheetView zoomScale="105" zoomScaleNormal="100" workbookViewId="0">
      <pane xSplit="1" topLeftCell="B1" activePane="topRight" state="frozen"/>
      <selection pane="topRight" activeCell="E9" sqref="E9"/>
    </sheetView>
  </sheetViews>
  <sheetFormatPr baseColWidth="10" defaultColWidth="8.88671875" defaultRowHeight="14.4" x14ac:dyDescent="0.3"/>
  <cols>
    <col min="1" max="1" width="15.88671875" style="1" customWidth="1"/>
    <col min="2" max="2" width="12.44140625" style="1" customWidth="1"/>
    <col min="3" max="3" width="22.109375" style="1" customWidth="1"/>
    <col min="4" max="4" width="17.6640625" style="1" customWidth="1"/>
    <col min="5" max="5" width="21.33203125" style="1" customWidth="1"/>
    <col min="6" max="6" width="45.21875" style="1" customWidth="1"/>
    <col min="7" max="7" width="21.6640625" style="1" customWidth="1"/>
    <col min="8" max="8" width="18.77734375" style="1" customWidth="1"/>
    <col min="9" max="9" width="18.44140625" style="1" customWidth="1"/>
    <col min="10" max="10" width="15.6640625" style="1" customWidth="1"/>
    <col min="11" max="11" width="16.6640625" style="1" customWidth="1"/>
    <col min="12" max="12" width="19" style="1" customWidth="1"/>
    <col min="13" max="13" width="18.109375" style="1" customWidth="1"/>
    <col min="14" max="14" width="17.109375" style="1" customWidth="1"/>
    <col min="15" max="15" width="18.33203125" style="1" customWidth="1"/>
    <col min="16" max="16" width="19.5546875" style="1" customWidth="1"/>
    <col min="17" max="17" width="19.33203125" style="1" customWidth="1"/>
    <col min="18" max="18" width="18.33203125" style="1" customWidth="1"/>
    <col min="19" max="19" width="18.109375" style="1" customWidth="1"/>
    <col min="20" max="20" width="23.44140625" style="1" customWidth="1"/>
    <col min="21" max="21" width="15" style="1" customWidth="1"/>
    <col min="22" max="22" width="13" style="1" hidden="1" customWidth="1"/>
    <col min="23" max="82" width="8.88671875" style="1" customWidth="1"/>
    <col min="83" max="16384" width="8.88671875" style="1"/>
  </cols>
  <sheetData>
    <row r="1" spans="1:22" ht="34.799999999999997" customHeight="1" thickBot="1" x14ac:dyDescent="0.35">
      <c r="E1" s="82" t="s">
        <v>0</v>
      </c>
      <c r="F1" s="83" t="s">
        <v>1</v>
      </c>
      <c r="G1" s="84"/>
      <c r="H1" s="83" t="s">
        <v>2</v>
      </c>
      <c r="I1" s="85"/>
    </row>
    <row r="2" spans="1:22" ht="15" customHeight="1" thickBot="1" x14ac:dyDescent="0.35">
      <c r="A2" s="69" t="s">
        <v>3</v>
      </c>
      <c r="B2" s="141" t="s">
        <v>4</v>
      </c>
      <c r="C2" s="137"/>
      <c r="D2" s="142" t="s">
        <v>5</v>
      </c>
      <c r="E2" s="137"/>
      <c r="F2" s="143" t="s">
        <v>6</v>
      </c>
      <c r="G2" s="137"/>
      <c r="H2" s="143" t="s">
        <v>7</v>
      </c>
      <c r="I2" s="137"/>
      <c r="J2" s="144" t="s">
        <v>8</v>
      </c>
      <c r="K2" s="137"/>
      <c r="L2" s="115" t="s">
        <v>9</v>
      </c>
      <c r="M2" s="116"/>
      <c r="N2" s="115" t="s">
        <v>10</v>
      </c>
      <c r="O2" s="116"/>
      <c r="P2" s="115" t="s">
        <v>11</v>
      </c>
      <c r="Q2" s="116"/>
      <c r="R2" s="115" t="s">
        <v>12</v>
      </c>
      <c r="S2" s="116"/>
      <c r="T2" s="143" t="s">
        <v>13</v>
      </c>
      <c r="U2" s="137"/>
    </row>
    <row r="3" spans="1:22" ht="15" customHeight="1" thickBot="1" x14ac:dyDescent="0.35">
      <c r="B3" s="5" t="s">
        <v>14</v>
      </c>
      <c r="C3" s="27" t="s">
        <v>15</v>
      </c>
      <c r="D3" s="28" t="s">
        <v>14</v>
      </c>
      <c r="E3" s="31" t="s">
        <v>15</v>
      </c>
      <c r="F3" s="18" t="s">
        <v>14</v>
      </c>
      <c r="G3" s="17" t="s">
        <v>15</v>
      </c>
      <c r="H3" s="18" t="s">
        <v>14</v>
      </c>
      <c r="I3" s="32" t="s">
        <v>15</v>
      </c>
      <c r="J3" s="17" t="s">
        <v>14</v>
      </c>
      <c r="K3" s="15" t="s">
        <v>15</v>
      </c>
      <c r="L3" s="18" t="s">
        <v>14</v>
      </c>
      <c r="M3" s="15" t="s">
        <v>15</v>
      </c>
      <c r="N3" s="18" t="s">
        <v>14</v>
      </c>
      <c r="O3" s="15" t="s">
        <v>15</v>
      </c>
      <c r="P3" s="18" t="s">
        <v>14</v>
      </c>
      <c r="Q3" s="15" t="s">
        <v>15</v>
      </c>
      <c r="R3" s="18" t="s">
        <v>14</v>
      </c>
      <c r="S3" s="45" t="s">
        <v>15</v>
      </c>
      <c r="T3" s="18" t="s">
        <v>14</v>
      </c>
      <c r="U3" s="46" t="s">
        <v>15</v>
      </c>
    </row>
    <row r="4" spans="1:22" x14ac:dyDescent="0.3">
      <c r="A4" s="48" t="s">
        <v>16</v>
      </c>
      <c r="B4" s="49">
        <f t="shared" ref="B4:U4" si="0">SUM(B5,B6)</f>
        <v>3.1799999999999997</v>
      </c>
      <c r="C4" s="50">
        <f t="shared" si="0"/>
        <v>86.84</v>
      </c>
      <c r="D4" s="51">
        <f t="shared" si="0"/>
        <v>2.79</v>
      </c>
      <c r="E4" s="52">
        <f t="shared" si="0"/>
        <v>158.73000000000002</v>
      </c>
      <c r="F4" s="51">
        <f t="shared" si="0"/>
        <v>5.83</v>
      </c>
      <c r="G4" s="52">
        <f t="shared" si="0"/>
        <v>252.39</v>
      </c>
      <c r="H4" s="51">
        <f t="shared" si="0"/>
        <v>5.8999999999999995</v>
      </c>
      <c r="I4" s="52">
        <f t="shared" si="0"/>
        <v>316.54000000000002</v>
      </c>
      <c r="J4" s="51">
        <f t="shared" si="0"/>
        <v>6.0399999999999991</v>
      </c>
      <c r="K4" s="52">
        <f t="shared" si="0"/>
        <v>199.98999999999998</v>
      </c>
      <c r="L4" s="51">
        <f t="shared" si="0"/>
        <v>4.09</v>
      </c>
      <c r="M4" s="52">
        <f t="shared" si="0"/>
        <v>233.21</v>
      </c>
      <c r="N4" s="51">
        <f t="shared" si="0"/>
        <v>0</v>
      </c>
      <c r="O4" s="52">
        <f t="shared" si="0"/>
        <v>0</v>
      </c>
      <c r="P4" s="51">
        <f t="shared" si="0"/>
        <v>0</v>
      </c>
      <c r="Q4" s="52">
        <f t="shared" si="0"/>
        <v>0</v>
      </c>
      <c r="R4" s="51">
        <f t="shared" si="0"/>
        <v>0</v>
      </c>
      <c r="S4" s="52">
        <f t="shared" si="0"/>
        <v>0</v>
      </c>
      <c r="T4" s="54">
        <f t="shared" si="0"/>
        <v>0</v>
      </c>
      <c r="U4" s="53">
        <f t="shared" si="0"/>
        <v>0</v>
      </c>
      <c r="V4" s="1">
        <v>254.3</v>
      </c>
    </row>
    <row r="5" spans="1:22" s="10" customFormat="1" x14ac:dyDescent="0.3">
      <c r="A5" s="41" t="s">
        <v>17</v>
      </c>
      <c r="B5" s="86">
        <f>SUM(1.25)/D49</f>
        <v>1.25</v>
      </c>
      <c r="C5" s="87">
        <f>SUM(75.26)</f>
        <v>75.260000000000005</v>
      </c>
      <c r="D5" s="86">
        <f>SUM(1.89,(D74/C74/7.5))/D49</f>
        <v>1.89</v>
      </c>
      <c r="E5" s="87">
        <f>SUM(126.42,D74)</f>
        <v>126.42</v>
      </c>
      <c r="F5" s="86">
        <f>SUM(2.12,(F74/C74/7.5))/D49</f>
        <v>2.12</v>
      </c>
      <c r="G5" s="87">
        <f>SUM(149.14,F74)</f>
        <v>149.13999999999999</v>
      </c>
      <c r="H5" s="86">
        <f>SUM(4.97,(H74/C74/7.5))/D49</f>
        <v>4.97</v>
      </c>
      <c r="I5" s="88">
        <f>SUM(282.41,H74)</f>
        <v>282.41000000000003</v>
      </c>
      <c r="J5" s="89">
        <f>SUM(6.02,(J74/C74/7.5))/D49</f>
        <v>6.02</v>
      </c>
      <c r="K5" s="90">
        <f>SUM(199.17,J74)</f>
        <v>199.17</v>
      </c>
      <c r="L5" s="89">
        <f>SUM(3.21,(L74/C74/7.5))/D49</f>
        <v>3.21</v>
      </c>
      <c r="M5" s="90">
        <f>SUM(200.93,L74)</f>
        <v>200.93</v>
      </c>
      <c r="N5" s="89">
        <f>SUM(0,(N74/C74/7.5))/D49</f>
        <v>0</v>
      </c>
      <c r="O5" s="90">
        <f>SUM(0,N74)</f>
        <v>0</v>
      </c>
      <c r="P5" s="89">
        <f>SUM(0,(P74/C74/7.5))/D49</f>
        <v>0</v>
      </c>
      <c r="Q5" s="90">
        <f>SUM(0,P74)</f>
        <v>0</v>
      </c>
      <c r="R5" s="89">
        <f>SUM(0,(R74/C74/7.5))/D49</f>
        <v>0</v>
      </c>
      <c r="S5" s="87">
        <f>SUM(0,R74)</f>
        <v>0</v>
      </c>
      <c r="T5" s="91">
        <f>SUM(0,(T74/C74/7.5))/D49</f>
        <v>0</v>
      </c>
      <c r="U5" s="88">
        <f>SUM(0,T74)</f>
        <v>0</v>
      </c>
      <c r="V5" s="9">
        <v>254.3</v>
      </c>
    </row>
    <row r="6" spans="1:22" s="10" customFormat="1" x14ac:dyDescent="0.3">
      <c r="A6" s="41" t="s">
        <v>18</v>
      </c>
      <c r="B6" s="86">
        <f>SUM(1.93)/D49</f>
        <v>1.93</v>
      </c>
      <c r="C6" s="92">
        <f>SUM(11.58)</f>
        <v>11.58</v>
      </c>
      <c r="D6" s="86">
        <f>SUM(0.9,(D75/C75/7.5))/D49</f>
        <v>0.9</v>
      </c>
      <c r="E6" s="87">
        <f>SUM(32.31,D75)</f>
        <v>32.31</v>
      </c>
      <c r="F6" s="86">
        <f>SUM(3.71,(F75/C75/7.5))/D49</f>
        <v>3.71</v>
      </c>
      <c r="G6" s="87">
        <f>SUM(103.25,F75)</f>
        <v>103.25</v>
      </c>
      <c r="H6" s="86">
        <f>SUM(0.93,(H75/C75/7.5))/D49</f>
        <v>0.93</v>
      </c>
      <c r="I6" s="88">
        <f>SUM(34.13,H75)</f>
        <v>34.130000000000003</v>
      </c>
      <c r="J6" s="89">
        <f>SUM(0.02,(J75/C75/7.5))/D49</f>
        <v>0.02</v>
      </c>
      <c r="K6" s="90">
        <f>SUM(0.82,J75)</f>
        <v>0.82</v>
      </c>
      <c r="L6" s="89">
        <f>SUM(0.88,(L75/C75/7.5))/D49</f>
        <v>0.88</v>
      </c>
      <c r="M6" s="90">
        <f>SUM(32.28,L75)</f>
        <v>32.28</v>
      </c>
      <c r="N6" s="89">
        <f>SUM(0,(N75/C75/7.5))/D49</f>
        <v>0</v>
      </c>
      <c r="O6" s="90">
        <f>SUM(0,N75)</f>
        <v>0</v>
      </c>
      <c r="P6" s="89">
        <f>SUM(0,(P75/C75/7.5))/D49</f>
        <v>0</v>
      </c>
      <c r="Q6" s="90">
        <f>SUM(0,P75)</f>
        <v>0</v>
      </c>
      <c r="R6" s="89">
        <f>SUM(0,(R75/C75/7.5))/D49</f>
        <v>0</v>
      </c>
      <c r="S6" s="87">
        <f>SUM(0,R75)</f>
        <v>0</v>
      </c>
      <c r="T6" s="91">
        <f>SUM(0,(T75/C75/7.5))/D49</f>
        <v>0</v>
      </c>
      <c r="U6" s="88">
        <f>SUM(0,T75)</f>
        <v>0</v>
      </c>
      <c r="V6" s="9">
        <v>32.28</v>
      </c>
    </row>
    <row r="7" spans="1:22" x14ac:dyDescent="0.3">
      <c r="A7" s="55" t="s">
        <v>19</v>
      </c>
      <c r="B7" s="56">
        <f t="shared" ref="B7:U7" si="1">SUM(B8,B9)</f>
        <v>17.899999999999999</v>
      </c>
      <c r="C7" s="57">
        <f t="shared" si="1"/>
        <v>134.97</v>
      </c>
      <c r="D7" s="58">
        <f t="shared" si="1"/>
        <v>0.17</v>
      </c>
      <c r="E7" s="57">
        <f t="shared" si="1"/>
        <v>6.22</v>
      </c>
      <c r="F7" s="58">
        <f t="shared" si="1"/>
        <v>0.56999999999999995</v>
      </c>
      <c r="G7" s="57">
        <f t="shared" si="1"/>
        <v>20.9</v>
      </c>
      <c r="H7" s="58">
        <f t="shared" si="1"/>
        <v>0.95</v>
      </c>
      <c r="I7" s="59">
        <f t="shared" si="1"/>
        <v>12.97</v>
      </c>
      <c r="J7" s="60">
        <f t="shared" si="1"/>
        <v>0.41</v>
      </c>
      <c r="K7" s="57">
        <f t="shared" si="1"/>
        <v>1.36</v>
      </c>
      <c r="L7" s="58">
        <f t="shared" si="1"/>
        <v>2.19</v>
      </c>
      <c r="M7" s="61">
        <f t="shared" si="1"/>
        <v>29.08</v>
      </c>
      <c r="N7" s="60">
        <f t="shared" si="1"/>
        <v>0</v>
      </c>
      <c r="O7" s="61">
        <f t="shared" si="1"/>
        <v>0</v>
      </c>
      <c r="P7" s="60">
        <f t="shared" si="1"/>
        <v>0</v>
      </c>
      <c r="Q7" s="61">
        <f t="shared" si="1"/>
        <v>0</v>
      </c>
      <c r="R7" s="60">
        <f t="shared" si="1"/>
        <v>0</v>
      </c>
      <c r="S7" s="57">
        <f t="shared" si="1"/>
        <v>0</v>
      </c>
      <c r="T7" s="62">
        <f t="shared" si="1"/>
        <v>0</v>
      </c>
      <c r="U7" s="59">
        <f t="shared" si="1"/>
        <v>0</v>
      </c>
      <c r="V7" s="1">
        <v>32.28</v>
      </c>
    </row>
    <row r="8" spans="1:22" s="10" customFormat="1" x14ac:dyDescent="0.3">
      <c r="A8" s="41" t="s">
        <v>17</v>
      </c>
      <c r="B8" s="86">
        <f>SUM(0.02)/D49</f>
        <v>0.02</v>
      </c>
      <c r="C8" s="87">
        <f>SUM(0.62)</f>
        <v>0.62</v>
      </c>
      <c r="D8" s="86">
        <f>SUM(0,(D77/C77/7.5))/D49</f>
        <v>0</v>
      </c>
      <c r="E8" s="87">
        <f>SUM(0,D77)</f>
        <v>0</v>
      </c>
      <c r="F8" s="86">
        <f>SUM(0,(F77/C77/7.5))/D49</f>
        <v>0</v>
      </c>
      <c r="G8" s="87">
        <f>SUM(0,F77)</f>
        <v>0</v>
      </c>
      <c r="H8" s="86">
        <f>SUM(0.63,(H77/C77/7.5))/D49</f>
        <v>0.63</v>
      </c>
      <c r="I8" s="88">
        <f>SUM(1.33,H77)</f>
        <v>1.33</v>
      </c>
      <c r="J8" s="89">
        <f>SUM(0.41,(J77/C77/7.5))/D49</f>
        <v>0.41</v>
      </c>
      <c r="K8" s="90">
        <f>SUM(1.36,J77)</f>
        <v>1.36</v>
      </c>
      <c r="L8" s="89">
        <f>SUM(2.19,(L77/C77/7.5))/D49</f>
        <v>2.19</v>
      </c>
      <c r="M8" s="90">
        <f>SUM(29.08,L77)</f>
        <v>29.08</v>
      </c>
      <c r="N8" s="89">
        <f>SUM(0,(N77/C77/7.5))/D49</f>
        <v>0</v>
      </c>
      <c r="O8" s="90">
        <f>SUM(0,N77)</f>
        <v>0</v>
      </c>
      <c r="P8" s="89">
        <f>SUM(0,(P77/C77/7.5))/D49</f>
        <v>0</v>
      </c>
      <c r="Q8" s="90">
        <f>SUM(0,P77)</f>
        <v>0</v>
      </c>
      <c r="R8" s="89">
        <f>SUM(0,(R77/C77/7.5))/D49</f>
        <v>0</v>
      </c>
      <c r="S8" s="87">
        <f>SUM(0,R77)</f>
        <v>0</v>
      </c>
      <c r="T8" s="91">
        <f>SUM(0,(T77/C77/7.5))/D49</f>
        <v>0</v>
      </c>
      <c r="U8" s="88">
        <f>SUM(0,T77)</f>
        <v>0</v>
      </c>
      <c r="V8" s="9">
        <v>0</v>
      </c>
    </row>
    <row r="9" spans="1:22" s="10" customFormat="1" x14ac:dyDescent="0.3">
      <c r="A9" s="41" t="s">
        <v>18</v>
      </c>
      <c r="B9" s="86">
        <f>SUM(17.88)/D49</f>
        <v>17.88</v>
      </c>
      <c r="C9" s="87">
        <f>SUM(134.35)</f>
        <v>134.35</v>
      </c>
      <c r="D9" s="86">
        <f>SUM(0.17,(D78/C78/7.5))/D49</f>
        <v>0.17</v>
      </c>
      <c r="E9" s="87">
        <f>SUM(6.22,D78)</f>
        <v>6.22</v>
      </c>
      <c r="F9" s="86">
        <f>SUM(0.57,(F78/C78/7.5))/D49</f>
        <v>0.56999999999999995</v>
      </c>
      <c r="G9" s="87">
        <f>SUM(20.9,F78)</f>
        <v>20.9</v>
      </c>
      <c r="H9" s="86">
        <f>SUM(0.32,(H78/C78/7.5))/D49</f>
        <v>0.32</v>
      </c>
      <c r="I9" s="88">
        <f>SUM(11.64,H78)</f>
        <v>11.64</v>
      </c>
      <c r="J9" s="89">
        <f>SUM(0,(J78/C78/7.5))/D49</f>
        <v>0</v>
      </c>
      <c r="K9" s="90">
        <f>SUM(0,J78)</f>
        <v>0</v>
      </c>
      <c r="L9" s="89">
        <f>SUM(0,(L78/C78/7.5))/D49</f>
        <v>0</v>
      </c>
      <c r="M9" s="90">
        <f>SUM(0,L78)</f>
        <v>0</v>
      </c>
      <c r="N9" s="89">
        <f>SUM(0,(N78/C78/7.5))/D49</f>
        <v>0</v>
      </c>
      <c r="O9" s="90">
        <f>SUM(0,N78)</f>
        <v>0</v>
      </c>
      <c r="P9" s="89">
        <f>SUM(0,(P78/C78/7.5))/D49</f>
        <v>0</v>
      </c>
      <c r="Q9" s="90">
        <f>SUM(0,P78)</f>
        <v>0</v>
      </c>
      <c r="R9" s="89">
        <f>SUM(0,(R78/C78/7.5))/D49</f>
        <v>0</v>
      </c>
      <c r="S9" s="87">
        <f>SUM(0,R78)</f>
        <v>0</v>
      </c>
      <c r="T9" s="91">
        <f>SUM(0,(T78/C78/7.5))/D49</f>
        <v>0</v>
      </c>
      <c r="U9" s="88">
        <f>SUM(0,T78)</f>
        <v>0</v>
      </c>
      <c r="V9" s="9">
        <v>0</v>
      </c>
    </row>
    <row r="10" spans="1:22" x14ac:dyDescent="0.3">
      <c r="A10" s="55" t="s">
        <v>20</v>
      </c>
      <c r="B10" s="56">
        <f t="shared" ref="B10:U10" si="2">SUM(B11,B12)</f>
        <v>1.44</v>
      </c>
      <c r="C10" s="57">
        <f t="shared" si="2"/>
        <v>33.35</v>
      </c>
      <c r="D10" s="58">
        <f t="shared" si="2"/>
        <v>10.33</v>
      </c>
      <c r="E10" s="57">
        <f t="shared" si="2"/>
        <v>160.26</v>
      </c>
      <c r="F10" s="58">
        <f t="shared" si="2"/>
        <v>7.68</v>
      </c>
      <c r="G10" s="57">
        <f t="shared" si="2"/>
        <v>92.460000000000008</v>
      </c>
      <c r="H10" s="58">
        <f t="shared" si="2"/>
        <v>5.21</v>
      </c>
      <c r="I10" s="57">
        <f t="shared" si="2"/>
        <v>80.55</v>
      </c>
      <c r="J10" s="58">
        <f t="shared" si="2"/>
        <v>1.71</v>
      </c>
      <c r="K10" s="57">
        <f t="shared" si="2"/>
        <v>24.94</v>
      </c>
      <c r="L10" s="58">
        <f t="shared" si="2"/>
        <v>4.04</v>
      </c>
      <c r="M10" s="61">
        <f t="shared" si="2"/>
        <v>50.01</v>
      </c>
      <c r="N10" s="60">
        <f t="shared" si="2"/>
        <v>0</v>
      </c>
      <c r="O10" s="61">
        <f t="shared" si="2"/>
        <v>0</v>
      </c>
      <c r="P10" s="60">
        <f t="shared" si="2"/>
        <v>0</v>
      </c>
      <c r="Q10" s="61">
        <f t="shared" si="2"/>
        <v>0</v>
      </c>
      <c r="R10" s="60">
        <f t="shared" si="2"/>
        <v>0</v>
      </c>
      <c r="S10" s="57">
        <f t="shared" si="2"/>
        <v>0</v>
      </c>
      <c r="T10" s="62">
        <f t="shared" si="2"/>
        <v>0</v>
      </c>
      <c r="U10" s="59">
        <f t="shared" si="2"/>
        <v>0</v>
      </c>
      <c r="V10" s="1">
        <v>0</v>
      </c>
    </row>
    <row r="11" spans="1:22" s="10" customFormat="1" x14ac:dyDescent="0.3">
      <c r="A11" s="41" t="s">
        <v>17</v>
      </c>
      <c r="B11" s="86">
        <f>SUM(0.74)/D49</f>
        <v>0.74</v>
      </c>
      <c r="C11" s="87">
        <f>SUM(13.93)</f>
        <v>13.93</v>
      </c>
      <c r="D11" s="86">
        <f>SUM(10.23,(D80/C80/7.5))/D49</f>
        <v>10.23</v>
      </c>
      <c r="E11" s="87">
        <f>SUM(156.34,D80)</f>
        <v>156.34</v>
      </c>
      <c r="F11" s="86">
        <f>SUM(7.66,(F80/C80/7.5))/D49</f>
        <v>7.66</v>
      </c>
      <c r="G11" s="87">
        <f>SUM(92.01,F80)</f>
        <v>92.01</v>
      </c>
      <c r="H11" s="86">
        <f>SUM(5.21,(H80/C80/7.5))/D49</f>
        <v>5.21</v>
      </c>
      <c r="I11" s="88">
        <f>SUM(80.55,H80)</f>
        <v>80.55</v>
      </c>
      <c r="J11" s="89">
        <f>SUM(1.71,(J80/C80/7.5))/D49</f>
        <v>1.71</v>
      </c>
      <c r="K11" s="90">
        <f>SUM(24.94,J80)</f>
        <v>24.94</v>
      </c>
      <c r="L11" s="89">
        <f>SUM(4.04,(L80/C80/7.5))/D49</f>
        <v>4.04</v>
      </c>
      <c r="M11" s="90">
        <f>SUM(50.01,L80)</f>
        <v>50.01</v>
      </c>
      <c r="N11" s="89">
        <f>SUM(0,(N80/C80/7.5))/D49</f>
        <v>0</v>
      </c>
      <c r="O11" s="90">
        <f>SUM(0,N80)</f>
        <v>0</v>
      </c>
      <c r="P11" s="89">
        <f>SUM(0,(P80/C80/7.5))/D49</f>
        <v>0</v>
      </c>
      <c r="Q11" s="90">
        <f>SUM(0,P80)</f>
        <v>0</v>
      </c>
      <c r="R11" s="89">
        <f>SUM(0,(R80/C80/7.5))/D49</f>
        <v>0</v>
      </c>
      <c r="S11" s="87">
        <f>SUM(0,R80)</f>
        <v>0</v>
      </c>
      <c r="T11" s="91">
        <f>SUM(0,(T80/C80/7.5))/D49</f>
        <v>0</v>
      </c>
      <c r="U11" s="88">
        <f>SUM(0,T80)</f>
        <v>0</v>
      </c>
      <c r="V11" s="9">
        <v>30.27</v>
      </c>
    </row>
    <row r="12" spans="1:22" s="10" customFormat="1" x14ac:dyDescent="0.3">
      <c r="A12" s="41" t="s">
        <v>18</v>
      </c>
      <c r="B12" s="86">
        <f>SUM(0.7)/D49</f>
        <v>0.7</v>
      </c>
      <c r="C12" s="87">
        <f>SUM(19.42)</f>
        <v>19.420000000000002</v>
      </c>
      <c r="D12" s="86">
        <f>SUM(0.1,(D81/C81/7.5))/D49</f>
        <v>0.1</v>
      </c>
      <c r="E12" s="87">
        <f>SUM(3.92,D81)</f>
        <v>3.92</v>
      </c>
      <c r="F12" s="86">
        <f>SUM(0.02,(F81/C81/7.5))/D49</f>
        <v>0.02</v>
      </c>
      <c r="G12" s="87">
        <f>SUM(0.45,F81)</f>
        <v>0.45</v>
      </c>
      <c r="H12" s="86">
        <f>SUM(0,(H81/C81/7.5))/D49</f>
        <v>0</v>
      </c>
      <c r="I12" s="88">
        <f>SUM(0,H81)</f>
        <v>0</v>
      </c>
      <c r="J12" s="89">
        <f>SUM(0,(J81/C81/7.5))/D49</f>
        <v>0</v>
      </c>
      <c r="K12" s="90">
        <f>SUM(0,J81)</f>
        <v>0</v>
      </c>
      <c r="L12" s="89">
        <f>SUM(0,(L81/C81/7.5))/D49</f>
        <v>0</v>
      </c>
      <c r="M12" s="90">
        <f>SUM(0,L81)</f>
        <v>0</v>
      </c>
      <c r="N12" s="89">
        <f>SUM(0,(N81/C81/7.5))/D49</f>
        <v>0</v>
      </c>
      <c r="O12" s="90">
        <f>SUM(0,N81)</f>
        <v>0</v>
      </c>
      <c r="P12" s="89">
        <f>SUM(0,(P81/C81/7.5))/D49</f>
        <v>0</v>
      </c>
      <c r="Q12" s="90">
        <f>SUM(0,P81)</f>
        <v>0</v>
      </c>
      <c r="R12" s="89">
        <f>SUM(0,(R81/C81/7.5))/D49</f>
        <v>0</v>
      </c>
      <c r="S12" s="87">
        <f>SUM(0,R81)</f>
        <v>0</v>
      </c>
      <c r="T12" s="91">
        <f>SUM(0,(T81/C81/7.5))/D49</f>
        <v>0</v>
      </c>
      <c r="U12" s="88">
        <f>SUM(0,T81)</f>
        <v>0</v>
      </c>
      <c r="V12" s="9">
        <v>0</v>
      </c>
    </row>
    <row r="13" spans="1:22" x14ac:dyDescent="0.3">
      <c r="A13" s="55" t="s">
        <v>21</v>
      </c>
      <c r="B13" s="56">
        <f t="shared" ref="B13:U13" si="3">SUM(B14,B15)</f>
        <v>4.4800000000000004</v>
      </c>
      <c r="C13" s="57">
        <f t="shared" si="3"/>
        <v>455.58</v>
      </c>
      <c r="D13" s="58">
        <f t="shared" si="3"/>
        <v>3.4299999999999997</v>
      </c>
      <c r="E13" s="57">
        <f t="shared" si="3"/>
        <v>369.08</v>
      </c>
      <c r="F13" s="58">
        <f t="shared" si="3"/>
        <v>8.9599999999999991</v>
      </c>
      <c r="G13" s="57">
        <f t="shared" si="3"/>
        <v>613.83999999999992</v>
      </c>
      <c r="H13" s="58">
        <f t="shared" si="3"/>
        <v>5.51</v>
      </c>
      <c r="I13" s="59">
        <f t="shared" si="3"/>
        <v>795.73</v>
      </c>
      <c r="J13" s="60">
        <f t="shared" si="3"/>
        <v>3.76</v>
      </c>
      <c r="K13" s="57">
        <f t="shared" si="3"/>
        <v>464.89000000000004</v>
      </c>
      <c r="L13" s="58">
        <f t="shared" si="3"/>
        <v>3.25</v>
      </c>
      <c r="M13" s="61">
        <f t="shared" si="3"/>
        <v>501.87</v>
      </c>
      <c r="N13" s="60">
        <f t="shared" si="3"/>
        <v>0</v>
      </c>
      <c r="O13" s="61">
        <f t="shared" si="3"/>
        <v>0</v>
      </c>
      <c r="P13" s="60">
        <f t="shared" si="3"/>
        <v>0</v>
      </c>
      <c r="Q13" s="61">
        <f t="shared" si="3"/>
        <v>0</v>
      </c>
      <c r="R13" s="60">
        <f t="shared" si="3"/>
        <v>0</v>
      </c>
      <c r="S13" s="57">
        <f t="shared" si="3"/>
        <v>0</v>
      </c>
      <c r="T13" s="62">
        <f t="shared" si="3"/>
        <v>0</v>
      </c>
      <c r="U13" s="59">
        <f t="shared" si="3"/>
        <v>0</v>
      </c>
      <c r="V13" s="1">
        <v>0</v>
      </c>
    </row>
    <row r="14" spans="1:22" s="10" customFormat="1" x14ac:dyDescent="0.3">
      <c r="A14" s="41" t="s">
        <v>17</v>
      </c>
      <c r="B14" s="86">
        <f>SUM(3.66)/D49</f>
        <v>3.66</v>
      </c>
      <c r="C14" s="87">
        <f>SUM(420.44)</f>
        <v>420.44</v>
      </c>
      <c r="D14" s="86">
        <f>SUM(2.86,(D83/C83/7.5))/D49</f>
        <v>2.86</v>
      </c>
      <c r="E14" s="87">
        <f>SUM(348.08,D83)</f>
        <v>348.08</v>
      </c>
      <c r="F14" s="86">
        <f>SUM(2.82,(F83/C83/7.5))/D49</f>
        <v>2.82</v>
      </c>
      <c r="G14" s="87">
        <f>SUM(386.34,F83)</f>
        <v>386.34</v>
      </c>
      <c r="H14" s="86">
        <f>SUM(5.51,(H83/C83/7.5))/D49</f>
        <v>5.51</v>
      </c>
      <c r="I14" s="88">
        <f>SUM(795.73,H83)</f>
        <v>795.73</v>
      </c>
      <c r="J14" s="89">
        <f>SUM(3.28,(J83/C83/7.5))/D49</f>
        <v>3.28</v>
      </c>
      <c r="K14" s="90">
        <f>SUM(449.16,J83)</f>
        <v>449.16</v>
      </c>
      <c r="L14" s="89">
        <f>SUM(3.09,(L83/C83/7.5))/D49</f>
        <v>3.09</v>
      </c>
      <c r="M14" s="90">
        <f>SUM(495.87,L83)</f>
        <v>495.87</v>
      </c>
      <c r="N14" s="89">
        <f>SUM(0,(N83/C83/7.5))/D49</f>
        <v>0</v>
      </c>
      <c r="O14" s="90">
        <f>SUM(0,N83)</f>
        <v>0</v>
      </c>
      <c r="P14" s="89">
        <f>SUM(0,(P83/C83/7.5))/D49</f>
        <v>0</v>
      </c>
      <c r="Q14" s="90">
        <f>SUM(0,P83)</f>
        <v>0</v>
      </c>
      <c r="R14" s="89">
        <f>SUM(0,(R83/C83/7.5))/D49</f>
        <v>0</v>
      </c>
      <c r="S14" s="87">
        <f>SUM(0,R83)</f>
        <v>0</v>
      </c>
      <c r="T14" s="91">
        <f>SUM(0,(T83/C83/7.5))/D49</f>
        <v>0</v>
      </c>
      <c r="U14" s="88">
        <f>SUM(0,T83)</f>
        <v>0</v>
      </c>
      <c r="V14" s="9">
        <v>400.28</v>
      </c>
    </row>
    <row r="15" spans="1:22" s="10" customFormat="1" x14ac:dyDescent="0.3">
      <c r="A15" s="41" t="s">
        <v>18</v>
      </c>
      <c r="B15" s="86">
        <f>SUM(0.82)/D49</f>
        <v>0.82</v>
      </c>
      <c r="C15" s="87">
        <f>SUM(35.14)</f>
        <v>35.14</v>
      </c>
      <c r="D15" s="86">
        <f>SUM(0.57,(D84/C84/7.5))/D49</f>
        <v>0.56999999999999995</v>
      </c>
      <c r="E15" s="87">
        <f>SUM(21,D84)</f>
        <v>21</v>
      </c>
      <c r="F15" s="86">
        <f>SUM(6.14,(F84/C84/7.5))/D49</f>
        <v>6.14</v>
      </c>
      <c r="G15" s="87">
        <f>SUM(227.5,F84)</f>
        <v>227.5</v>
      </c>
      <c r="H15" s="86">
        <f>SUM(0,(H84/C84/7.5))/D49</f>
        <v>0</v>
      </c>
      <c r="I15" s="88">
        <f>SUM(0,H84)</f>
        <v>0</v>
      </c>
      <c r="J15" s="89">
        <f>SUM(0.48,(J84/C84/7.5))/D49</f>
        <v>0.48</v>
      </c>
      <c r="K15" s="90">
        <f>SUM(15.73,J84)</f>
        <v>15.73</v>
      </c>
      <c r="L15" s="89">
        <f>SUM(0.16,(L84/C84/7.5))/D49</f>
        <v>0.16</v>
      </c>
      <c r="M15" s="90">
        <f>SUM(6,L84)</f>
        <v>6</v>
      </c>
      <c r="N15" s="89">
        <f>SUM(0,(N84/C84/7.5))/D49</f>
        <v>0</v>
      </c>
      <c r="O15" s="90">
        <f>SUM(0,N84)</f>
        <v>0</v>
      </c>
      <c r="P15" s="89">
        <f>SUM(0,(P84/C84/7.5))/D49</f>
        <v>0</v>
      </c>
      <c r="Q15" s="90">
        <f>SUM(0,P84)</f>
        <v>0</v>
      </c>
      <c r="R15" s="89">
        <f>SUM(0,(R84/C84/7.5))/D49</f>
        <v>0</v>
      </c>
      <c r="S15" s="87">
        <f>SUM(0,R84)</f>
        <v>0</v>
      </c>
      <c r="T15" s="91">
        <f>SUM(0,(T84/C84/7.5))/D49</f>
        <v>0</v>
      </c>
      <c r="U15" s="88">
        <f>SUM(0,T84)</f>
        <v>0</v>
      </c>
      <c r="V15" s="9">
        <v>10</v>
      </c>
    </row>
    <row r="16" spans="1:22" x14ac:dyDescent="0.3">
      <c r="A16" s="55" t="s">
        <v>22</v>
      </c>
      <c r="B16" s="56">
        <f t="shared" ref="B16:U16" si="4">SUM(B17,B18)</f>
        <v>4.41</v>
      </c>
      <c r="C16" s="57">
        <f t="shared" si="4"/>
        <v>751.67</v>
      </c>
      <c r="D16" s="58">
        <f t="shared" si="4"/>
        <v>2.62</v>
      </c>
      <c r="E16" s="57">
        <f t="shared" si="4"/>
        <v>474.63</v>
      </c>
      <c r="F16" s="58">
        <f t="shared" si="4"/>
        <v>3.12</v>
      </c>
      <c r="G16" s="57">
        <f t="shared" si="4"/>
        <v>559.51</v>
      </c>
      <c r="H16" s="58">
        <f t="shared" si="4"/>
        <v>2.92</v>
      </c>
      <c r="I16" s="59">
        <f t="shared" si="4"/>
        <v>478.52</v>
      </c>
      <c r="J16" s="60">
        <f t="shared" si="4"/>
        <v>2.42</v>
      </c>
      <c r="K16" s="57">
        <f t="shared" si="4"/>
        <v>393.95</v>
      </c>
      <c r="L16" s="58">
        <f t="shared" si="4"/>
        <v>2.48</v>
      </c>
      <c r="M16" s="61">
        <f t="shared" si="4"/>
        <v>393.6</v>
      </c>
      <c r="N16" s="60">
        <f t="shared" si="4"/>
        <v>0</v>
      </c>
      <c r="O16" s="61">
        <f t="shared" si="4"/>
        <v>0</v>
      </c>
      <c r="P16" s="60">
        <f t="shared" si="4"/>
        <v>0</v>
      </c>
      <c r="Q16" s="61">
        <f t="shared" si="4"/>
        <v>0</v>
      </c>
      <c r="R16" s="60">
        <f t="shared" si="4"/>
        <v>0</v>
      </c>
      <c r="S16" s="57">
        <f t="shared" si="4"/>
        <v>0</v>
      </c>
      <c r="T16" s="62">
        <f t="shared" si="4"/>
        <v>0</v>
      </c>
      <c r="U16" s="59">
        <f t="shared" si="4"/>
        <v>0</v>
      </c>
      <c r="V16" s="1">
        <v>10</v>
      </c>
    </row>
    <row r="17" spans="1:98" s="10" customFormat="1" x14ac:dyDescent="0.3">
      <c r="A17" s="41" t="s">
        <v>17</v>
      </c>
      <c r="B17" s="91">
        <f>SUM(4.41)/D49</f>
        <v>4.41</v>
      </c>
      <c r="C17" s="87">
        <f>SUM(751.67)</f>
        <v>751.67</v>
      </c>
      <c r="D17" s="91">
        <f>SUM(2.62,(D86/C86/7.5))/D49</f>
        <v>2.62</v>
      </c>
      <c r="E17" s="87">
        <f>SUM(474.63,D86)</f>
        <v>474.63</v>
      </c>
      <c r="F17" s="91">
        <f>SUM(3.12,(F86/C86/7.5))/D49</f>
        <v>3.12</v>
      </c>
      <c r="G17" s="87">
        <f>SUM(559.51,F86)</f>
        <v>559.51</v>
      </c>
      <c r="H17" s="91">
        <f>SUM(2.92,(H86/C86/7.5))/D49</f>
        <v>2.92</v>
      </c>
      <c r="I17" s="88">
        <f>SUM(478.52,H86)</f>
        <v>478.52</v>
      </c>
      <c r="J17" s="89">
        <f>SUM(2.42,(J86/C86/7.5))/D49</f>
        <v>2.42</v>
      </c>
      <c r="K17" s="88">
        <f>SUM(393.95,J86)</f>
        <v>393.95</v>
      </c>
      <c r="L17" s="86">
        <f>SUM(2.48,(L86/C86/7.5))/D49</f>
        <v>2.48</v>
      </c>
      <c r="M17" s="88">
        <f>SUM(393.6,L86)</f>
        <v>393.6</v>
      </c>
      <c r="N17" s="86">
        <f>SUM(0,(N86/C86/7.5))/D49</f>
        <v>0</v>
      </c>
      <c r="O17" s="88">
        <f>SUM(0,N86)</f>
        <v>0</v>
      </c>
      <c r="P17" s="86">
        <f>SUM(0,(P86/C86/7.5))/D49</f>
        <v>0</v>
      </c>
      <c r="Q17" s="88">
        <f>SUM(0,P86)</f>
        <v>0</v>
      </c>
      <c r="R17" s="86">
        <f>SUM(0,(R86/C86/7.5))/D49</f>
        <v>0</v>
      </c>
      <c r="S17" s="87">
        <f>SUM(0,R86)</f>
        <v>0</v>
      </c>
      <c r="T17" s="91">
        <f>SUM(0,(T86/C86/7.5))/D49</f>
        <v>0</v>
      </c>
      <c r="U17" s="88">
        <f>SUM(0,T86)</f>
        <v>0</v>
      </c>
      <c r="V17" s="9">
        <v>335.57</v>
      </c>
    </row>
    <row r="18" spans="1:98" s="10" customFormat="1" ht="15" customHeight="1" thickBot="1" x14ac:dyDescent="0.35">
      <c r="A18" s="41" t="s">
        <v>18</v>
      </c>
      <c r="B18" s="43"/>
      <c r="C18" s="44"/>
      <c r="D18" s="43"/>
      <c r="E18" s="44"/>
      <c r="F18" s="43"/>
      <c r="G18" s="44"/>
      <c r="H18" s="43"/>
      <c r="I18" s="44"/>
      <c r="J18" s="43"/>
      <c r="K18" s="44"/>
      <c r="L18" s="43"/>
      <c r="M18" s="44"/>
      <c r="N18" s="43"/>
      <c r="O18" s="44"/>
      <c r="P18" s="43"/>
      <c r="Q18" s="44"/>
      <c r="R18" s="43"/>
      <c r="S18" s="44"/>
      <c r="T18" s="43"/>
      <c r="U18" s="47"/>
      <c r="V18" s="9">
        <v>0</v>
      </c>
    </row>
    <row r="19" spans="1:98" s="6" customFormat="1" ht="15" customHeight="1" thickBot="1" x14ac:dyDescent="0.35">
      <c r="A19" s="16" t="s">
        <v>23</v>
      </c>
      <c r="B19" s="7">
        <f t="shared" ref="B19:U19" si="5">SUM(B4,B7,B10,B13,B16)</f>
        <v>31.41</v>
      </c>
      <c r="C19" s="14">
        <f t="shared" si="5"/>
        <v>1462.4099999999999</v>
      </c>
      <c r="D19" s="7">
        <f t="shared" si="5"/>
        <v>19.34</v>
      </c>
      <c r="E19" s="14">
        <f t="shared" si="5"/>
        <v>1168.92</v>
      </c>
      <c r="F19" s="7">
        <f t="shared" si="5"/>
        <v>26.16</v>
      </c>
      <c r="G19" s="14">
        <f t="shared" si="5"/>
        <v>1539.1</v>
      </c>
      <c r="H19" s="7">
        <f t="shared" si="5"/>
        <v>20.490000000000002</v>
      </c>
      <c r="I19" s="8">
        <f t="shared" si="5"/>
        <v>1684.31</v>
      </c>
      <c r="J19" s="14">
        <f t="shared" si="5"/>
        <v>14.34</v>
      </c>
      <c r="K19" s="8">
        <f t="shared" si="5"/>
        <v>1085.1300000000001</v>
      </c>
      <c r="L19" s="7">
        <f t="shared" si="5"/>
        <v>16.05</v>
      </c>
      <c r="M19" s="8">
        <f t="shared" si="5"/>
        <v>1207.77</v>
      </c>
      <c r="N19" s="7">
        <f t="shared" si="5"/>
        <v>0</v>
      </c>
      <c r="O19" s="8">
        <f t="shared" si="5"/>
        <v>0</v>
      </c>
      <c r="P19" s="7">
        <f t="shared" si="5"/>
        <v>0</v>
      </c>
      <c r="Q19" s="8">
        <f t="shared" si="5"/>
        <v>0</v>
      </c>
      <c r="R19" s="7">
        <f t="shared" si="5"/>
        <v>0</v>
      </c>
      <c r="S19" s="14">
        <f t="shared" si="5"/>
        <v>0</v>
      </c>
      <c r="T19" s="7">
        <f t="shared" si="5"/>
        <v>0</v>
      </c>
      <c r="U19" s="8">
        <f t="shared" si="5"/>
        <v>0</v>
      </c>
      <c r="V19">
        <v>0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</row>
    <row r="20" spans="1:98" ht="15" customHeight="1" thickBot="1" x14ac:dyDescent="0.35"/>
    <row r="21" spans="1:98" ht="15" customHeight="1" thickBot="1" x14ac:dyDescent="0.35">
      <c r="C21" s="69" t="s">
        <v>24</v>
      </c>
      <c r="D21" s="136" t="s">
        <v>25</v>
      </c>
      <c r="E21" s="137"/>
      <c r="F21" s="136" t="s">
        <v>26</v>
      </c>
      <c r="G21" s="137"/>
      <c r="H21" s="136" t="s">
        <v>27</v>
      </c>
      <c r="I21" s="137"/>
      <c r="J21" s="136" t="s">
        <v>28</v>
      </c>
      <c r="K21" s="137"/>
      <c r="L21" s="136" t="s">
        <v>29</v>
      </c>
      <c r="M21" s="137"/>
      <c r="N21" s="136" t="s">
        <v>30</v>
      </c>
      <c r="O21" s="137"/>
      <c r="P21" s="136" t="s">
        <v>31</v>
      </c>
      <c r="Q21" s="137"/>
      <c r="R21" s="136" t="s">
        <v>32</v>
      </c>
      <c r="S21" s="137"/>
      <c r="T21" s="136" t="s">
        <v>33</v>
      </c>
      <c r="U21" s="137"/>
    </row>
    <row r="22" spans="1:98" ht="15" customHeight="1" thickBot="1" x14ac:dyDescent="0.35">
      <c r="D22" s="2" t="s">
        <v>14</v>
      </c>
      <c r="E22" s="2" t="s">
        <v>15</v>
      </c>
      <c r="F22" s="2" t="s">
        <v>14</v>
      </c>
      <c r="G22" s="2" t="s">
        <v>15</v>
      </c>
      <c r="H22" s="2" t="s">
        <v>14</v>
      </c>
      <c r="I22" s="2" t="s">
        <v>15</v>
      </c>
      <c r="J22" s="2" t="s">
        <v>14</v>
      </c>
      <c r="K22" s="2" t="s">
        <v>15</v>
      </c>
      <c r="L22" s="2" t="s">
        <v>14</v>
      </c>
      <c r="M22" s="2" t="s">
        <v>15</v>
      </c>
      <c r="N22" s="2" t="s">
        <v>14</v>
      </c>
      <c r="O22" s="2" t="s">
        <v>15</v>
      </c>
      <c r="P22" s="2" t="s">
        <v>14</v>
      </c>
      <c r="Q22" s="2" t="s">
        <v>15</v>
      </c>
      <c r="R22" s="2" t="s">
        <v>14</v>
      </c>
      <c r="S22" s="2" t="s">
        <v>15</v>
      </c>
      <c r="T22" s="2" t="s">
        <v>14</v>
      </c>
      <c r="U22" s="2" t="s">
        <v>15</v>
      </c>
    </row>
    <row r="23" spans="1:98" x14ac:dyDescent="0.3">
      <c r="A23" s="42" t="s">
        <v>16</v>
      </c>
      <c r="C23" s="42" t="s">
        <v>16</v>
      </c>
      <c r="D23" s="22">
        <f>E39-D4</f>
        <v>0</v>
      </c>
      <c r="E23" s="22">
        <f>IF(E39&lt;D4,
D23*(E4/D4),
IF(E39&lt;D4+$B$4,D23*($C$4/$B$4),$C$4))</f>
        <v>0</v>
      </c>
      <c r="F23" s="22">
        <f>G39-F4</f>
        <v>0</v>
      </c>
      <c r="G23" s="22">
        <f>IF(G39&lt;F4,
F23*(G4/F4),
IF(G39&lt;F4+$B$4,F23*($C$4/$B$4),$C$4))</f>
        <v>0</v>
      </c>
      <c r="H23" s="22">
        <f>I39-H4</f>
        <v>0</v>
      </c>
      <c r="I23" s="22">
        <f>IF(I39&lt;H4,
H23*(I4/H4),
IF(I39&lt;H4+$B$4,H23*($C$4/$B$4),$C$4))</f>
        <v>0</v>
      </c>
      <c r="J23" s="22">
        <f>K39-J4</f>
        <v>0.13000000000000078</v>
      </c>
      <c r="K23" s="22">
        <f>IF(K39&lt;J4,
J23*(K4/J4),
IF(K39&lt;J4+$B$4,J23*($C$4/$B$4),$C$4))</f>
        <v>3.5500628930817828</v>
      </c>
      <c r="L23" s="22">
        <f>M39-L4</f>
        <v>0</v>
      </c>
      <c r="M23" s="22">
        <f>IF(M39&lt;L4,
L23*(M4/L4),
IF(M39&lt;L4+$B$4,L23*($C$4/$B$4),$C$4))</f>
        <v>0</v>
      </c>
      <c r="N23" s="22">
        <f>O39-N4</f>
        <v>0</v>
      </c>
      <c r="O23" s="22">
        <f>IF(O39&lt;N4,
N23*(O4/N4),
IF(O39&lt;N4+$B$4,N23*($C$4/$B$4),$C$4))</f>
        <v>0</v>
      </c>
      <c r="P23" s="22">
        <f>Q39-P4</f>
        <v>0</v>
      </c>
      <c r="Q23" s="22">
        <f>IF(Q39&lt;P4,
P23*(Q4/P4),
IF(Q39&lt;P4+$B$4,P23*($C$4/$B$4),$C$4))</f>
        <v>0</v>
      </c>
      <c r="R23" s="22">
        <f>S39-R4</f>
        <v>0</v>
      </c>
      <c r="S23" s="22">
        <f>IF(S39&lt;R4,
R23*(S4/R4),
IF(S39&lt;R4+$B$4,R23*($C$4/$B$4),$C$4))</f>
        <v>0</v>
      </c>
      <c r="T23" s="22">
        <f>U39-T4</f>
        <v>0</v>
      </c>
      <c r="U23" s="22">
        <f>IF(U39&lt;T4,
T23*(U4/T4),
IF(U39&lt;T4+$B$4,T23*($C$4/$B$4),$C$4))</f>
        <v>0</v>
      </c>
    </row>
    <row r="24" spans="1:98" x14ac:dyDescent="0.3">
      <c r="A24" s="39" t="s">
        <v>34</v>
      </c>
      <c r="C24" s="39" t="s">
        <v>34</v>
      </c>
      <c r="D24" s="22">
        <f>E40-D7</f>
        <v>0</v>
      </c>
      <c r="E24" s="22">
        <f>IF(E40&lt;D7,
D24*(E7/D7),
IF(E40&lt;D7+$B$7,D24*($C$7/$B$7),$C$7))</f>
        <v>0</v>
      </c>
      <c r="F24" s="22">
        <f>G40-F7</f>
        <v>0</v>
      </c>
      <c r="G24" s="22">
        <f>IF(G40&lt;F7,
F24*(G7/F7),
IF(G40&lt;F7+$B$7,F24*($C$7/$B$7),$C$7))</f>
        <v>0</v>
      </c>
      <c r="H24" s="22">
        <f>I40-H7</f>
        <v>0</v>
      </c>
      <c r="I24" s="22">
        <f>IF(I40&lt;H7,
H24*(I7/H7),
IF(I40&lt;H7+$B$7,H24*($C$7/$B$7),$C$7))</f>
        <v>0</v>
      </c>
      <c r="J24" s="22">
        <f>K40-J7</f>
        <v>0</v>
      </c>
      <c r="K24" s="22">
        <f>IF(K40&lt;J7,
J24*(K7/J7),
IF(K40&lt;J7+$B$7,J24*($C$7/$B$7),$C$7))</f>
        <v>0</v>
      </c>
      <c r="L24" s="22">
        <f>M40-L7</f>
        <v>0</v>
      </c>
      <c r="M24" s="22">
        <f>IF(M40&lt;L7,
L24*(M7/L7),
IF(M40&lt;L7+$B$7,L24*($C$7/$B$7),$C$7))</f>
        <v>0</v>
      </c>
      <c r="N24" s="22">
        <f>O40-N7</f>
        <v>0</v>
      </c>
      <c r="O24" s="22">
        <f>IF(O40&lt;N7,
N24*(O7/N7),
IF(O40&lt;N7+$B$7,N24*($C$7/$B$7),$C$7))</f>
        <v>0</v>
      </c>
      <c r="P24" s="22">
        <f>Q40-P7</f>
        <v>0</v>
      </c>
      <c r="Q24" s="22">
        <f>IF(Q40&lt;P7,
P24*(Q7/P7),
IF(Q40&lt;P7+$B$7,P24*($C$7/$B$7),$C$7))</f>
        <v>0</v>
      </c>
      <c r="R24" s="22">
        <f>S40-R7</f>
        <v>0</v>
      </c>
      <c r="S24" s="22">
        <f>IF(S40&lt;R7,
R24*(S7/R7),
IF(S40&lt;R7+$B$7,R24*($C$7/$B$7),$C$7))</f>
        <v>0</v>
      </c>
      <c r="T24" s="22">
        <f>U40-T7</f>
        <v>0</v>
      </c>
      <c r="U24" s="22">
        <f>IF(U40&lt;T7,
T24*(U7/T7),
IF(U40&lt;T7+$B$7,T24*($C$7/$B$7),$C$7))</f>
        <v>0</v>
      </c>
    </row>
    <row r="25" spans="1:98" x14ac:dyDescent="0.3">
      <c r="A25" s="39" t="s">
        <v>20</v>
      </c>
      <c r="C25" s="39" t="s">
        <v>20</v>
      </c>
      <c r="D25" s="22">
        <f>E41-D10</f>
        <v>0</v>
      </c>
      <c r="E25" s="22">
        <f>IF(E41&lt;D10,
D25*(E10/D10),
IF(E41&lt;D10+$B$10,D25*($C$10/$B$10),$C$10))</f>
        <v>0</v>
      </c>
      <c r="F25" s="22">
        <f>G41-F10</f>
        <v>0</v>
      </c>
      <c r="G25" s="22">
        <f>IF(G41&lt;F10,
F25*(G10/F10),
IF(G41&lt;F10+$B$10,F25*($C$10/$B$10),$C$10))</f>
        <v>0</v>
      </c>
      <c r="H25" s="22">
        <f>I41-H10</f>
        <v>0</v>
      </c>
      <c r="I25" s="22">
        <f>IF(I41&lt;H10,
H25*(I10/H10),
IF(I41&lt;H10+$B$10,H25*($C$10/$B$10),$C$10))</f>
        <v>0</v>
      </c>
      <c r="J25" s="22">
        <f>K41-J10</f>
        <v>0</v>
      </c>
      <c r="K25" s="22">
        <f>IF(K41&lt;J10,
J25*(K10/J10),
IF(K41&lt;J10+$B$10,J25*($C$10/$B$10),$C$10))</f>
        <v>0</v>
      </c>
      <c r="L25" s="22">
        <f>M41-L10</f>
        <v>0</v>
      </c>
      <c r="M25" s="22">
        <f>IF(M41&lt;L10,
L25*(M10/L10),
IF(M41&lt;L10+$B$10,L25*($C$10/$B$10),$C$10))</f>
        <v>0</v>
      </c>
      <c r="N25" s="22">
        <f>O41-N10</f>
        <v>0</v>
      </c>
      <c r="O25" s="22">
        <f>IF(O41&lt;N10,
N25*(O10/N10),
IF(O41&lt;N10+$B$10,N25*($C$10/$B$10),$C$10))</f>
        <v>0</v>
      </c>
      <c r="P25" s="22">
        <f>Q41-P10</f>
        <v>0</v>
      </c>
      <c r="Q25" s="22">
        <f>IF(Q41&lt;P10,
P25*(Q10/P10),
IF(Q41&lt;P10+$B$10,P25*($C$10/$B$10),$C$10))</f>
        <v>0</v>
      </c>
      <c r="R25" s="22">
        <f>S41-R10</f>
        <v>0</v>
      </c>
      <c r="S25" s="22">
        <f>IF(S41&lt;R10,
R25*(S10/R10),
IF(S41&lt;R10+$B$10,R25*($C$10/$B$10),$C$10))</f>
        <v>0</v>
      </c>
      <c r="T25" s="22">
        <f>U41-T10</f>
        <v>0</v>
      </c>
      <c r="U25" s="22">
        <f>IF(U41&lt;T10,
T25*(U10/T10),
IF(U41&lt;T10+$B$10,T25*($C$10/$B$10),$C$10))</f>
        <v>0</v>
      </c>
    </row>
    <row r="26" spans="1:98" x14ac:dyDescent="0.3">
      <c r="A26" s="39" t="s">
        <v>21</v>
      </c>
      <c r="C26" s="39" t="s">
        <v>21</v>
      </c>
      <c r="D26" s="22">
        <f>E42-D13</f>
        <v>0</v>
      </c>
      <c r="E26" s="22">
        <f>IF(E42&lt;D13,
D26*(E13/D13),
IF(E42&lt;D13+$B$13,D26*($C$13/$B$13),$C$13))</f>
        <v>0</v>
      </c>
      <c r="F26" s="22">
        <f>G42-F13</f>
        <v>0</v>
      </c>
      <c r="G26" s="22">
        <f>IF(G42&lt;F13,
F26*(G13/F13),
IF(G42&lt;F13+$B$13,F26*($C$13/$B$13),$C$13))</f>
        <v>0</v>
      </c>
      <c r="H26" s="22">
        <f>I42-H13</f>
        <v>-1.9999999999999574E-2</v>
      </c>
      <c r="I26" s="22">
        <f>IF(I42&lt;H13,
H26*(I13/H13),
IF(I42&lt;H13+$B$13,H26*($C$13/$B$13),$C$13))</f>
        <v>-2.8883121597095576</v>
      </c>
      <c r="J26" s="22">
        <f>K42-J13</f>
        <v>0</v>
      </c>
      <c r="K26" s="22">
        <f>IF(K42&lt;J13,
J26*(K13/J13),
IF(K42&lt;J13+$B$13,J26*($C$13/$B$13),$C$13))</f>
        <v>0</v>
      </c>
      <c r="L26" s="22">
        <f>M42-L13</f>
        <v>0</v>
      </c>
      <c r="M26" s="22">
        <f>IF(M42&lt;L13,
L26*(M13/L13),
IF(M42&lt;L13+$B$13,L26*($C$13/$B$13),$C$13))</f>
        <v>0</v>
      </c>
      <c r="N26" s="22">
        <f>O42-N13</f>
        <v>0</v>
      </c>
      <c r="O26" s="22">
        <f>IF(O42&lt;N13,
N26*(O13/N13),
IF(O42&lt;N13+$B$13,N26*($C$13/$B$13),$C$13))</f>
        <v>0</v>
      </c>
      <c r="P26" s="22">
        <f>Q42-P13</f>
        <v>0</v>
      </c>
      <c r="Q26" s="22">
        <f>IF(Q42&lt;P13,
P26*(Q13/P13),
IF(Q42&lt;P13+$B$13,P26*($C$13/$B$13),$C$13))</f>
        <v>0</v>
      </c>
      <c r="R26" s="22">
        <f>S42-R13</f>
        <v>0</v>
      </c>
      <c r="S26" s="22">
        <f>IF(S42&lt;R13,
R26*(S13/R13),
IF(S42&lt;R13+$B$13,R26*($C$13/$B$13),$C$13))</f>
        <v>0</v>
      </c>
      <c r="T26" s="22">
        <f>U42-T13</f>
        <v>0</v>
      </c>
      <c r="U26" s="22">
        <f>IF(U42&lt;T13,
T26*(U13/T13),
IF(U42&lt;T13+$B$13,T26*($C$13/$B$13),$C$13))</f>
        <v>0</v>
      </c>
    </row>
    <row r="27" spans="1:98" ht="15" customHeight="1" thickBot="1" x14ac:dyDescent="0.35">
      <c r="A27" s="40" t="s">
        <v>22</v>
      </c>
      <c r="C27" s="40" t="s">
        <v>22</v>
      </c>
      <c r="D27" s="29">
        <f>E43-D16</f>
        <v>0</v>
      </c>
      <c r="E27" s="29">
        <f>IF(E43&lt;D16,
D27*(E16/D16),
IF(E43&lt;D16+$B$16,D27*($C$16/$B$16),$C$16))</f>
        <v>0</v>
      </c>
      <c r="F27" s="29">
        <f>G43-F16</f>
        <v>0</v>
      </c>
      <c r="G27" s="29">
        <f>IF(G43&lt;F16,
F27*(G16/F16),
IF(G43&lt;F16+$B$16,F27*($C$16/$B$16),$C$16))</f>
        <v>0</v>
      </c>
      <c r="H27" s="29">
        <f>I43-H16</f>
        <v>0</v>
      </c>
      <c r="I27" s="29">
        <f>IF(I43&lt;H16,
H27*(I16/H16),
IF(I43&lt;H16+$B$16,H27*($C$16/$B$16),$C$16))</f>
        <v>0</v>
      </c>
      <c r="J27" s="29">
        <f>K43-J16</f>
        <v>0</v>
      </c>
      <c r="K27" s="29">
        <f>IF(K43&lt;J16,
J27*(K16/J16),
IF(K43&lt;J16+$B$16,J27*($C$16/$B$16),$C$16))</f>
        <v>0</v>
      </c>
      <c r="L27" s="29">
        <f>M43-L16</f>
        <v>0</v>
      </c>
      <c r="M27" s="29">
        <f>IF(M43&lt;L16,
L27*(M16/L16),
IF(M43&lt;L16+$B$16,L27*($C$16/$B$16),$C$16))</f>
        <v>0</v>
      </c>
      <c r="N27" s="29">
        <f>O43-N16</f>
        <v>0</v>
      </c>
      <c r="O27" s="29">
        <f>IF(O43&lt;N16,
N27*(O16/N16),
IF(O43&lt;N16+$B$16,N27*($C$16/$B$16),$C$16))</f>
        <v>0</v>
      </c>
      <c r="P27" s="29">
        <f>Q43-P16</f>
        <v>0</v>
      </c>
      <c r="Q27" s="29">
        <f>IF(Q43&lt;P16,
P27*(Q16/P16),
IF(Q43&lt;P16+$B$16,P27*($C$16/$B$16),$C$16))</f>
        <v>0</v>
      </c>
      <c r="R27" s="29">
        <f>S43-R16</f>
        <v>0</v>
      </c>
      <c r="S27" s="29">
        <f>IF(S43&lt;R16,
R27*(S16/R16),
IF(S43&lt;R16+$B$16,R27*($C$16/$B$16),$C$16))</f>
        <v>0</v>
      </c>
      <c r="T27" s="29">
        <f>U43-T16</f>
        <v>0</v>
      </c>
      <c r="U27" s="29">
        <f>IF(U43&lt;T16,
T27*(U16/T16),
IF(U43&lt;T16+$B$16,T27*($C$16/$B$16),$C$16))</f>
        <v>0</v>
      </c>
    </row>
    <row r="28" spans="1:98" ht="15" customHeight="1" thickBot="1" x14ac:dyDescent="0.35"/>
    <row r="29" spans="1:98" ht="15" customHeight="1" thickBot="1" x14ac:dyDescent="0.35">
      <c r="C29" s="69" t="s">
        <v>35</v>
      </c>
      <c r="D29" s="117" t="s">
        <v>36</v>
      </c>
      <c r="E29" s="118"/>
      <c r="F29" s="117" t="s">
        <v>37</v>
      </c>
      <c r="G29" s="118"/>
      <c r="H29" s="117" t="s">
        <v>38</v>
      </c>
      <c r="I29" s="118"/>
      <c r="J29" s="117" t="s">
        <v>39</v>
      </c>
      <c r="K29" s="118"/>
      <c r="L29" s="117" t="s">
        <v>40</v>
      </c>
      <c r="M29" s="118"/>
      <c r="N29" s="117" t="s">
        <v>41</v>
      </c>
      <c r="O29" s="118"/>
      <c r="P29" s="145" t="s">
        <v>42</v>
      </c>
      <c r="Q29" s="118"/>
      <c r="R29" s="117" t="s">
        <v>43</v>
      </c>
      <c r="S29" s="118"/>
      <c r="T29" s="117" t="s">
        <v>44</v>
      </c>
      <c r="U29" s="118"/>
    </row>
    <row r="30" spans="1:98" x14ac:dyDescent="0.3">
      <c r="D30" s="33" t="s">
        <v>16</v>
      </c>
      <c r="E30" s="21">
        <f>E23+E4</f>
        <v>158.73000000000002</v>
      </c>
      <c r="F30" s="33" t="s">
        <v>16</v>
      </c>
      <c r="G30" s="21">
        <f>G23+G4</f>
        <v>252.39</v>
      </c>
      <c r="H30" s="33" t="s">
        <v>16</v>
      </c>
      <c r="I30" s="21">
        <f>I23+I4</f>
        <v>316.54000000000002</v>
      </c>
      <c r="J30" s="33" t="s">
        <v>16</v>
      </c>
      <c r="K30" s="21">
        <f>K23+K4</f>
        <v>203.54006289308177</v>
      </c>
      <c r="L30" s="33" t="s">
        <v>16</v>
      </c>
      <c r="M30" s="21">
        <f>M23+M4</f>
        <v>233.21</v>
      </c>
      <c r="N30" s="33" t="s">
        <v>16</v>
      </c>
      <c r="O30" s="21">
        <f>O23+O4</f>
        <v>0</v>
      </c>
      <c r="P30" s="3" t="s">
        <v>16</v>
      </c>
      <c r="Q30" s="21">
        <f>Q23+Q4</f>
        <v>0</v>
      </c>
      <c r="R30" s="33" t="s">
        <v>16</v>
      </c>
      <c r="S30" s="21">
        <f>S23+S4</f>
        <v>0</v>
      </c>
      <c r="T30" s="33" t="s">
        <v>16</v>
      </c>
      <c r="U30" s="21">
        <f>U23+U4</f>
        <v>0</v>
      </c>
    </row>
    <row r="31" spans="1:98" ht="15" customHeight="1" x14ac:dyDescent="0.3">
      <c r="D31" s="33" t="s">
        <v>34</v>
      </c>
      <c r="E31" s="21">
        <f>E24+E7</f>
        <v>6.22</v>
      </c>
      <c r="F31" s="33" t="s">
        <v>34</v>
      </c>
      <c r="G31" s="21">
        <f>G24+G7</f>
        <v>20.9</v>
      </c>
      <c r="H31" s="33" t="s">
        <v>34</v>
      </c>
      <c r="I31" s="21">
        <f>I24+I7</f>
        <v>12.97</v>
      </c>
      <c r="J31" s="33" t="s">
        <v>34</v>
      </c>
      <c r="K31" s="21">
        <f>K24+K7</f>
        <v>1.36</v>
      </c>
      <c r="L31" s="33" t="s">
        <v>34</v>
      </c>
      <c r="M31" s="21">
        <f>M24+M7</f>
        <v>29.08</v>
      </c>
      <c r="N31" s="33" t="s">
        <v>34</v>
      </c>
      <c r="O31" s="21">
        <f>O24+O7</f>
        <v>0</v>
      </c>
      <c r="P31" s="3" t="s">
        <v>34</v>
      </c>
      <c r="Q31" s="21">
        <f>Q24+Q7</f>
        <v>0</v>
      </c>
      <c r="R31" s="33" t="s">
        <v>34</v>
      </c>
      <c r="S31" s="21">
        <f>S24+S7</f>
        <v>0</v>
      </c>
      <c r="T31" s="33" t="s">
        <v>34</v>
      </c>
      <c r="U31" s="21">
        <f>U24+U7</f>
        <v>0</v>
      </c>
    </row>
    <row r="32" spans="1:98" ht="15" customHeight="1" x14ac:dyDescent="0.3">
      <c r="D32" s="33" t="s">
        <v>20</v>
      </c>
      <c r="E32" s="21">
        <f>E25+E10</f>
        <v>160.26</v>
      </c>
      <c r="F32" s="33" t="s">
        <v>20</v>
      </c>
      <c r="G32" s="21">
        <f>G25+G10</f>
        <v>92.460000000000008</v>
      </c>
      <c r="H32" s="33" t="s">
        <v>20</v>
      </c>
      <c r="I32" s="21">
        <f>I25+I10</f>
        <v>80.55</v>
      </c>
      <c r="J32" s="33" t="s">
        <v>20</v>
      </c>
      <c r="K32" s="21">
        <f>K25+K10</f>
        <v>24.94</v>
      </c>
      <c r="L32" s="33" t="s">
        <v>20</v>
      </c>
      <c r="M32" s="21">
        <f>M25+M10</f>
        <v>50.01</v>
      </c>
      <c r="N32" s="33" t="s">
        <v>20</v>
      </c>
      <c r="O32" s="21">
        <f>O25+O10</f>
        <v>0</v>
      </c>
      <c r="P32" s="3" t="s">
        <v>20</v>
      </c>
      <c r="Q32" s="21">
        <f>Q25+Q10</f>
        <v>0</v>
      </c>
      <c r="R32" s="33" t="s">
        <v>20</v>
      </c>
      <c r="S32" s="21">
        <f>S25+S10</f>
        <v>0</v>
      </c>
      <c r="T32" s="33" t="s">
        <v>20</v>
      </c>
      <c r="U32" s="21">
        <f>U25+U10</f>
        <v>0</v>
      </c>
    </row>
    <row r="33" spans="1:21" ht="15" customHeight="1" x14ac:dyDescent="0.3">
      <c r="D33" s="33" t="s">
        <v>21</v>
      </c>
      <c r="E33" s="21">
        <f>E26+E13</f>
        <v>369.08</v>
      </c>
      <c r="F33" s="33" t="s">
        <v>21</v>
      </c>
      <c r="G33" s="21">
        <f>G26+G13</f>
        <v>613.83999999999992</v>
      </c>
      <c r="H33" s="33" t="s">
        <v>21</v>
      </c>
      <c r="I33" s="21">
        <f>I26+I13</f>
        <v>792.84168784029043</v>
      </c>
      <c r="J33" s="33" t="s">
        <v>21</v>
      </c>
      <c r="K33" s="21">
        <f>K26+K13</f>
        <v>464.89000000000004</v>
      </c>
      <c r="L33" s="33" t="s">
        <v>21</v>
      </c>
      <c r="M33" s="21">
        <f>M26+M13</f>
        <v>501.87</v>
      </c>
      <c r="N33" s="33" t="s">
        <v>21</v>
      </c>
      <c r="O33" s="21">
        <f>O26+O13</f>
        <v>0</v>
      </c>
      <c r="P33" s="3" t="s">
        <v>21</v>
      </c>
      <c r="Q33" s="21">
        <f>Q26+Q13</f>
        <v>0</v>
      </c>
      <c r="R33" s="33" t="s">
        <v>21</v>
      </c>
      <c r="S33" s="21">
        <f>S26+S13</f>
        <v>0</v>
      </c>
      <c r="T33" s="33" t="s">
        <v>21</v>
      </c>
      <c r="U33" s="21">
        <f>U26+U13</f>
        <v>0</v>
      </c>
    </row>
    <row r="34" spans="1:21" ht="15" customHeight="1" thickBot="1" x14ac:dyDescent="0.35">
      <c r="D34" s="33" t="s">
        <v>22</v>
      </c>
      <c r="E34" s="21">
        <f>E27+E16</f>
        <v>474.63</v>
      </c>
      <c r="F34" s="33" t="s">
        <v>22</v>
      </c>
      <c r="G34" s="21">
        <f>G27+G16</f>
        <v>559.51</v>
      </c>
      <c r="H34" s="33" t="s">
        <v>22</v>
      </c>
      <c r="I34" s="21">
        <f>I27+I16</f>
        <v>478.52</v>
      </c>
      <c r="J34" s="33" t="s">
        <v>22</v>
      </c>
      <c r="K34" s="21">
        <f>K27+K16</f>
        <v>393.95</v>
      </c>
      <c r="L34" s="33" t="s">
        <v>22</v>
      </c>
      <c r="M34" s="21">
        <f>M27+M16</f>
        <v>393.6</v>
      </c>
      <c r="N34" s="33" t="s">
        <v>22</v>
      </c>
      <c r="O34" s="21">
        <f>O27+O16</f>
        <v>0</v>
      </c>
      <c r="P34" s="3" t="s">
        <v>22</v>
      </c>
      <c r="Q34" s="21">
        <f>Q27+Q16</f>
        <v>0</v>
      </c>
      <c r="R34" s="33" t="s">
        <v>22</v>
      </c>
      <c r="S34" s="21">
        <f>S27+S16</f>
        <v>0</v>
      </c>
      <c r="T34" s="33" t="s">
        <v>22</v>
      </c>
      <c r="U34" s="21">
        <f>U27+U16</f>
        <v>0</v>
      </c>
    </row>
    <row r="35" spans="1:21" s="23" customFormat="1" ht="24" customHeight="1" thickBot="1" x14ac:dyDescent="0.4">
      <c r="D35" s="25" t="s">
        <v>23</v>
      </c>
      <c r="E35" s="24">
        <f>SUM(E30:E34)</f>
        <v>1168.92</v>
      </c>
      <c r="F35" s="36" t="s">
        <v>23</v>
      </c>
      <c r="G35" s="24">
        <f>SUM(G30:G34)</f>
        <v>1539.1</v>
      </c>
      <c r="H35" s="36" t="s">
        <v>23</v>
      </c>
      <c r="I35" s="24">
        <f>SUM(I30:I34)</f>
        <v>1681.4216878402904</v>
      </c>
      <c r="J35" s="36" t="s">
        <v>23</v>
      </c>
      <c r="K35" s="24">
        <f>SUM(K30:K34)</f>
        <v>1088.6800628930819</v>
      </c>
      <c r="L35" s="36" t="s">
        <v>23</v>
      </c>
      <c r="M35" s="24">
        <f>SUM(M30:M34)</f>
        <v>1207.77</v>
      </c>
      <c r="N35" s="36" t="s">
        <v>23</v>
      </c>
      <c r="O35" s="24">
        <f>SUM(O30:O34)</f>
        <v>0</v>
      </c>
      <c r="P35" s="35" t="s">
        <v>23</v>
      </c>
      <c r="Q35" s="24">
        <f>SUM(Q30:Q34)</f>
        <v>0</v>
      </c>
      <c r="R35" s="36" t="s">
        <v>23</v>
      </c>
      <c r="S35" s="24">
        <f>SUM(S30:S34)</f>
        <v>0</v>
      </c>
      <c r="T35" s="36" t="s">
        <v>23</v>
      </c>
      <c r="U35" s="24">
        <f>SUM(U30:U34)</f>
        <v>0</v>
      </c>
    </row>
    <row r="37" spans="1:21" ht="15" customHeight="1" thickBot="1" x14ac:dyDescent="0.35"/>
    <row r="38" spans="1:21" ht="15" customHeight="1" thickBot="1" x14ac:dyDescent="0.35">
      <c r="A38" s="70" t="s">
        <v>45</v>
      </c>
      <c r="B38" s="79" t="s">
        <v>46</v>
      </c>
      <c r="C38" s="78" t="s">
        <v>47</v>
      </c>
      <c r="D38" s="138" t="s">
        <v>48</v>
      </c>
      <c r="E38" s="118"/>
      <c r="F38" s="138" t="s">
        <v>49</v>
      </c>
      <c r="G38" s="118"/>
      <c r="H38" s="138" t="s">
        <v>50</v>
      </c>
      <c r="I38" s="118"/>
      <c r="J38" s="138" t="s">
        <v>51</v>
      </c>
      <c r="K38" s="118"/>
      <c r="L38" s="138" t="s">
        <v>52</v>
      </c>
      <c r="M38" s="118"/>
      <c r="N38" s="138" t="s">
        <v>53</v>
      </c>
      <c r="O38" s="118"/>
      <c r="P38" s="138" t="s">
        <v>54</v>
      </c>
      <c r="Q38" s="118"/>
      <c r="R38" s="138" t="s">
        <v>55</v>
      </c>
      <c r="S38" s="118"/>
      <c r="T38" s="138" t="s">
        <v>56</v>
      </c>
      <c r="U38" s="118"/>
    </row>
    <row r="39" spans="1:21" x14ac:dyDescent="0.3">
      <c r="A39" s="76" t="s">
        <v>57</v>
      </c>
      <c r="B39" s="80">
        <v>3700</v>
      </c>
      <c r="C39" s="74">
        <f>SUM(E35*1 + G35*1 + I35*0.4)</f>
        <v>3380.5886751361163</v>
      </c>
      <c r="D39" s="42" t="s">
        <v>16</v>
      </c>
      <c r="E39" s="12">
        <v>2.79</v>
      </c>
      <c r="F39" s="42" t="s">
        <v>16</v>
      </c>
      <c r="G39" s="3">
        <v>5.83</v>
      </c>
      <c r="H39" s="42" t="s">
        <v>16</v>
      </c>
      <c r="I39" s="3">
        <v>5.8999999999999986</v>
      </c>
      <c r="J39" s="42" t="s">
        <v>16</v>
      </c>
      <c r="K39" s="3">
        <v>6.17</v>
      </c>
      <c r="L39" s="42" t="s">
        <v>16</v>
      </c>
      <c r="M39" s="3">
        <v>4.09</v>
      </c>
      <c r="N39" s="42" t="s">
        <v>16</v>
      </c>
      <c r="O39" s="3">
        <v>0</v>
      </c>
      <c r="P39" s="42" t="s">
        <v>16</v>
      </c>
      <c r="Q39" s="3">
        <v>0</v>
      </c>
      <c r="R39" s="42" t="s">
        <v>16</v>
      </c>
      <c r="S39" s="3">
        <v>0</v>
      </c>
      <c r="T39" s="42" t="s">
        <v>16</v>
      </c>
      <c r="U39" s="3">
        <v>0</v>
      </c>
    </row>
    <row r="40" spans="1:21" x14ac:dyDescent="0.3">
      <c r="A40" s="76" t="s">
        <v>58</v>
      </c>
      <c r="B40" s="80">
        <v>3800</v>
      </c>
      <c r="C40" s="74">
        <f>SUM(I35*0.6 + K35*1 + M35*1 + O35*1 + Q35*0.8)</f>
        <v>3305.3030755972559</v>
      </c>
      <c r="D40" s="39" t="s">
        <v>34</v>
      </c>
      <c r="E40" s="12">
        <v>0.17</v>
      </c>
      <c r="F40" s="39" t="s">
        <v>34</v>
      </c>
      <c r="G40" s="3">
        <v>0.56999999999999995</v>
      </c>
      <c r="H40" s="39" t="s">
        <v>34</v>
      </c>
      <c r="I40" s="3">
        <v>0.95</v>
      </c>
      <c r="J40" s="39" t="s">
        <v>34</v>
      </c>
      <c r="K40" s="3">
        <v>0.41</v>
      </c>
      <c r="L40" s="39" t="s">
        <v>34</v>
      </c>
      <c r="M40" s="3">
        <v>2.19</v>
      </c>
      <c r="N40" s="39" t="s">
        <v>34</v>
      </c>
      <c r="O40" s="3">
        <v>0</v>
      </c>
      <c r="P40" s="39" t="s">
        <v>34</v>
      </c>
      <c r="Q40" s="3">
        <v>0</v>
      </c>
      <c r="R40" s="39" t="s">
        <v>34</v>
      </c>
      <c r="S40" s="3">
        <v>0</v>
      </c>
      <c r="T40" s="39" t="s">
        <v>34</v>
      </c>
      <c r="U40" s="3">
        <v>0</v>
      </c>
    </row>
    <row r="41" spans="1:21" ht="15" customHeight="1" thickBot="1" x14ac:dyDescent="0.35">
      <c r="A41" s="77" t="s">
        <v>59</v>
      </c>
      <c r="B41" s="81">
        <v>3900</v>
      </c>
      <c r="C41" s="75">
        <f>SUM(Q35*0.2 + S35*1)</f>
        <v>0</v>
      </c>
      <c r="D41" s="39" t="s">
        <v>20</v>
      </c>
      <c r="E41" s="12">
        <v>10.33</v>
      </c>
      <c r="F41" s="39" t="s">
        <v>20</v>
      </c>
      <c r="G41" s="3">
        <v>7.68</v>
      </c>
      <c r="H41" s="39" t="s">
        <v>20</v>
      </c>
      <c r="I41" s="3">
        <v>5.21</v>
      </c>
      <c r="J41" s="39" t="s">
        <v>20</v>
      </c>
      <c r="K41" s="3">
        <v>1.71</v>
      </c>
      <c r="L41" s="39" t="s">
        <v>20</v>
      </c>
      <c r="M41" s="3">
        <v>4.04</v>
      </c>
      <c r="N41" s="39" t="s">
        <v>20</v>
      </c>
      <c r="O41" s="3">
        <v>0</v>
      </c>
      <c r="P41" s="39" t="s">
        <v>20</v>
      </c>
      <c r="Q41" s="3">
        <v>0</v>
      </c>
      <c r="R41" s="39" t="s">
        <v>20</v>
      </c>
      <c r="S41" s="3">
        <v>0</v>
      </c>
      <c r="T41" s="39" t="s">
        <v>20</v>
      </c>
      <c r="U41" s="3">
        <v>0</v>
      </c>
    </row>
    <row r="42" spans="1:21" x14ac:dyDescent="0.3">
      <c r="D42" s="39" t="s">
        <v>21</v>
      </c>
      <c r="E42" s="12">
        <v>3.43</v>
      </c>
      <c r="F42" s="39" t="s">
        <v>21</v>
      </c>
      <c r="G42" s="3">
        <v>8.9599999999999991</v>
      </c>
      <c r="H42" s="39" t="s">
        <v>21</v>
      </c>
      <c r="I42" s="3">
        <v>5.49</v>
      </c>
      <c r="J42" s="39" t="s">
        <v>21</v>
      </c>
      <c r="K42" s="3">
        <v>3.76</v>
      </c>
      <c r="L42" s="39" t="s">
        <v>21</v>
      </c>
      <c r="M42" s="3">
        <v>3.25</v>
      </c>
      <c r="N42" s="39" t="s">
        <v>21</v>
      </c>
      <c r="O42" s="3">
        <v>0</v>
      </c>
      <c r="P42" s="39" t="s">
        <v>21</v>
      </c>
      <c r="Q42" s="3">
        <v>0</v>
      </c>
      <c r="R42" s="39" t="s">
        <v>21</v>
      </c>
      <c r="S42" s="3">
        <v>0</v>
      </c>
      <c r="T42" s="39" t="s">
        <v>21</v>
      </c>
      <c r="U42" s="3">
        <v>0</v>
      </c>
    </row>
    <row r="43" spans="1:21" ht="15" customHeight="1" thickBot="1" x14ac:dyDescent="0.35">
      <c r="D43" s="40" t="s">
        <v>22</v>
      </c>
      <c r="E43" s="13">
        <v>2.62</v>
      </c>
      <c r="F43" s="40" t="s">
        <v>22</v>
      </c>
      <c r="G43" s="4">
        <v>3.12</v>
      </c>
      <c r="H43" s="40" t="s">
        <v>22</v>
      </c>
      <c r="I43" s="4">
        <v>2.92</v>
      </c>
      <c r="J43" s="40" t="s">
        <v>22</v>
      </c>
      <c r="K43" s="4">
        <v>2.42</v>
      </c>
      <c r="L43" s="40" t="s">
        <v>22</v>
      </c>
      <c r="M43" s="4">
        <v>2.48</v>
      </c>
      <c r="N43" s="40" t="s">
        <v>22</v>
      </c>
      <c r="O43" s="4">
        <v>0</v>
      </c>
      <c r="P43" s="40" t="s">
        <v>22</v>
      </c>
      <c r="Q43" s="4">
        <v>0</v>
      </c>
      <c r="R43" s="40" t="s">
        <v>22</v>
      </c>
      <c r="S43" s="4">
        <v>0</v>
      </c>
      <c r="T43" s="40" t="s">
        <v>22</v>
      </c>
      <c r="U43" s="4">
        <v>0</v>
      </c>
    </row>
    <row r="44" spans="1:21" ht="42" customHeight="1" thickBot="1" x14ac:dyDescent="0.35">
      <c r="D44" s="11"/>
      <c r="E44" s="30"/>
    </row>
    <row r="45" spans="1:21" ht="15" customHeight="1" thickBot="1" x14ac:dyDescent="0.35">
      <c r="E45" s="19" t="s">
        <v>60</v>
      </c>
      <c r="G45" s="19" t="s">
        <v>60</v>
      </c>
      <c r="I45" s="19" t="s">
        <v>60</v>
      </c>
      <c r="K45" s="19" t="s">
        <v>60</v>
      </c>
      <c r="M45" s="19" t="s">
        <v>60</v>
      </c>
      <c r="O45" s="19" t="s">
        <v>60</v>
      </c>
      <c r="Q45" s="19" t="s">
        <v>60</v>
      </c>
      <c r="S45" s="19" t="s">
        <v>60</v>
      </c>
      <c r="U45" s="19" t="s">
        <v>60</v>
      </c>
    </row>
    <row r="46" spans="1:21" ht="15" customHeight="1" thickBot="1" x14ac:dyDescent="0.35"/>
    <row r="47" spans="1:21" ht="15" customHeight="1" thickBot="1" x14ac:dyDescent="0.35">
      <c r="E47" s="20" t="s">
        <v>61</v>
      </c>
      <c r="G47" s="20" t="s">
        <v>61</v>
      </c>
      <c r="I47" s="20" t="s">
        <v>61</v>
      </c>
      <c r="K47" s="20" t="s">
        <v>61</v>
      </c>
      <c r="M47" s="20" t="s">
        <v>61</v>
      </c>
      <c r="O47" s="20" t="s">
        <v>61</v>
      </c>
      <c r="Q47" s="20" t="s">
        <v>61</v>
      </c>
      <c r="S47" s="20" t="s">
        <v>61</v>
      </c>
      <c r="U47" s="20" t="s">
        <v>61</v>
      </c>
    </row>
    <row r="48" spans="1:21" ht="15" customHeight="1" thickBot="1" x14ac:dyDescent="0.35"/>
    <row r="49" spans="3:21" ht="15" customHeight="1" thickBot="1" x14ac:dyDescent="0.35">
      <c r="C49" s="69" t="s">
        <v>62</v>
      </c>
      <c r="D49" s="38">
        <v>1</v>
      </c>
    </row>
    <row r="52" spans="3:21" ht="15" customHeight="1" thickBot="1" x14ac:dyDescent="0.35"/>
    <row r="53" spans="3:21" ht="15" customHeight="1" thickBot="1" x14ac:dyDescent="0.35">
      <c r="C53" s="70" t="s">
        <v>4</v>
      </c>
      <c r="D53" s="117" t="s">
        <v>63</v>
      </c>
      <c r="E53" s="118"/>
      <c r="F53" s="117" t="s">
        <v>64</v>
      </c>
      <c r="G53" s="118"/>
      <c r="H53" s="117" t="s">
        <v>65</v>
      </c>
      <c r="I53" s="118"/>
      <c r="J53" s="117" t="s">
        <v>66</v>
      </c>
      <c r="K53" s="118"/>
      <c r="L53" s="117" t="s">
        <v>67</v>
      </c>
      <c r="M53" s="118"/>
      <c r="N53" s="117" t="s">
        <v>68</v>
      </c>
      <c r="O53" s="118"/>
      <c r="P53" s="117" t="s">
        <v>69</v>
      </c>
      <c r="Q53" s="118"/>
      <c r="R53" s="117" t="s">
        <v>70</v>
      </c>
      <c r="S53" s="118"/>
      <c r="T53" s="117" t="s">
        <v>71</v>
      </c>
      <c r="U53" s="118"/>
    </row>
    <row r="54" spans="3:21" x14ac:dyDescent="0.3">
      <c r="D54" s="37" t="s">
        <v>16</v>
      </c>
      <c r="E54" s="21">
        <f>IF($C$4+$E$4-$E$30 &gt; 0, $C$4+$E$4-$E$30, 0)</f>
        <v>86.84</v>
      </c>
      <c r="F54" s="37" t="s">
        <v>16</v>
      </c>
      <c r="G54" s="21">
        <f>IF(E4-E30+G4-G30+C4 &gt; 0, E4-E30+G4-G30+C4, 0)</f>
        <v>86.84</v>
      </c>
      <c r="H54" s="37" t="s">
        <v>16</v>
      </c>
      <c r="I54" s="21">
        <f>IF(E4-E30+G4-G30+I4-I30+$C$4 &gt; 0, E4-E30+G4-G30+I4-I30+$C$4, 0)</f>
        <v>86.84</v>
      </c>
      <c r="J54" s="37" t="s">
        <v>16</v>
      </c>
      <c r="K54" s="21">
        <f>IF(E4-E30+G4-G30+I4-I30+K4-K30+$C$4 &gt; 0, E4-E30+G4-G30+I4-I30+K4-K30+$C$4, 0)</f>
        <v>83.289937106918217</v>
      </c>
      <c r="L54" s="37" t="s">
        <v>16</v>
      </c>
      <c r="M54" s="21">
        <f>IF(G4-G30+I4-I30+K4-K30+M4-M30+$C$4+E4-E30 &gt; 0, G4-G30+I4-I30+K4-K30+M4-M30+$C$4+E4-E30, 0)</f>
        <v>83.289937106918217</v>
      </c>
      <c r="N54" s="37" t="s">
        <v>16</v>
      </c>
      <c r="O54" s="21">
        <f>IF(I4-I30+K4-K30+M4-M30+O4-O30+$C$4+G4-G30+E4-E30 &gt; 0, I4-I30+K4-K30+M4-M30+O4-O30+$C$4+G4-G30+E4-E30, 0)</f>
        <v>83.289937106918217</v>
      </c>
      <c r="P54" s="37" t="s">
        <v>16</v>
      </c>
      <c r="Q54" s="21">
        <f>IF(K4-K30+M4-M30+O4-O30+Q4-Q30+$C$4+I4-I30+G4-G30+E4-E30 &gt; 0, K4-K30+M4-M30+O4-O30+Q4-Q30+$C$4+I4-I30+G4-G30+E4-E30, 0)</f>
        <v>83.289937106918217</v>
      </c>
      <c r="R54" s="37" t="s">
        <v>16</v>
      </c>
      <c r="S54" s="21">
        <f>IF(M4-M30+O4-O30+Q4-Q30+S4-S30+$C$4+K4-K30+I4-I30+G4-G30+E4-E30 &gt; 0, M4-M30+O4-O30+Q4-Q30+S4-S30+$C$4+K4-K30+I4-I30+G4-G30+E4-E30, 0)</f>
        <v>83.289937106918217</v>
      </c>
      <c r="T54" s="37" t="s">
        <v>16</v>
      </c>
      <c r="U54" s="21">
        <f>IF(O4-O30+Q4-Q30+S4-S30+U4-U30+$C$4+M4-M30+K4-K30+I4-I30+G4-G30+E4-E30 &gt; 0, O4-O30+Q4-Q30+S4-S30+U4-U30+$C$4+M4-M30+K4-K30+I4-I30+G4-G30+E4-E30, 0)</f>
        <v>83.289937106918217</v>
      </c>
    </row>
    <row r="55" spans="3:21" x14ac:dyDescent="0.3">
      <c r="D55" s="33" t="s">
        <v>34</v>
      </c>
      <c r="E55" s="21">
        <f>IF($C$7+$E$7-$E$31 &gt; 0, $C$7+$E$7-$E$31, 0)</f>
        <v>134.97</v>
      </c>
      <c r="F55" s="33" t="s">
        <v>34</v>
      </c>
      <c r="G55" s="21">
        <f>IF(E7-E31+G7-G31+C7 &gt; 0, E7-E31+G7-G31+C7, 0)</f>
        <v>134.97</v>
      </c>
      <c r="H55" s="33" t="s">
        <v>34</v>
      </c>
      <c r="I55" s="21">
        <f>IF(E7-E31+G7-G31+I7-I31+C7 &gt; 0,E7-E31+G7-G31+I7-I31+C7, 0)</f>
        <v>134.97</v>
      </c>
      <c r="J55" s="33" t="s">
        <v>34</v>
      </c>
      <c r="K55" s="21">
        <f>IF(E7-E31+G7-G31+I7-I31+K7-K31+C7 &gt; 0,E7-E31+G7-G31+I7-I31+K7-K31+C7, 0)</f>
        <v>134.97</v>
      </c>
      <c r="L55" s="33" t="s">
        <v>34</v>
      </c>
      <c r="M55" s="21">
        <f>IF(G7-G31+I7-I31+K7-K31+M7-M31+$C7+E7-E31 &gt; 0,G7-G31+I7-I31+K7-K31+M7-M31+$C7+E7-E31, 0)</f>
        <v>134.97</v>
      </c>
      <c r="N55" s="33" t="s">
        <v>34</v>
      </c>
      <c r="O55" s="21">
        <f>IF(I7-I31+K7-K31+M7-M31+O7-O31+$C7+G7-G31+E7-E31 &gt; 0,I7-I31+K7-K31+M7-M31+O7-O31+$C7+G7-G31+E7-E31, 0)</f>
        <v>134.97</v>
      </c>
      <c r="P55" s="33" t="s">
        <v>34</v>
      </c>
      <c r="Q55" s="21">
        <f>IF(K7-K31+M7-M31+O7-O31+Q7-Q31+$C7+I7-I31+G7-G31+E7-E31 &gt; 0,K7-K31+M7-M31+O7-O31+Q7-Q31+$C7+I7-I31+G7-G31+E7-E31, 0)</f>
        <v>134.97</v>
      </c>
      <c r="R55" s="33" t="s">
        <v>34</v>
      </c>
      <c r="S55" s="21">
        <f>IF(M7-M31+O7-O31+Q7-Q31+S7-S31+$C7+K7-K31+I7-I31+G7-G31+E7-E31 &gt; 0,M7-M31+O7-O31+Q7-Q31+S7-S31+$C7+K7-K31+I7-I31+G7-G31+E7-E31, 0)</f>
        <v>134.97</v>
      </c>
      <c r="T55" s="33" t="s">
        <v>34</v>
      </c>
      <c r="U55" s="21">
        <f>IF(O7-O31+Q7-Q31+S7-S31+U7-U31+$C7+M7-M31+K7-K31+I7-I31+G7-G31+E7-E31 &gt; 0,O7-O31+Q7-Q31+S7-S31+U7-U31+$C7+M7-M31+K7-K31+I7-I31+G7-G31+E7-E31, 0)</f>
        <v>134.97000000000003</v>
      </c>
    </row>
    <row r="56" spans="3:21" x14ac:dyDescent="0.3">
      <c r="D56" s="33" t="s">
        <v>20</v>
      </c>
      <c r="E56" s="21">
        <f>IF($C$10+$E$10-$E$32 &gt; 0, $C$10+$E$10-$E$32, 0)</f>
        <v>33.349999999999994</v>
      </c>
      <c r="F56" s="33" t="s">
        <v>20</v>
      </c>
      <c r="G56" s="21">
        <f>IF(E10-E32+G10-G32+C10 &gt; 0, E10-E32+G10-G32+C10, 0)</f>
        <v>33.35</v>
      </c>
      <c r="H56" s="33" t="s">
        <v>20</v>
      </c>
      <c r="I56" s="21">
        <f>IF(E10-E32+G10-G32+I10-I32+C10 &gt; 0,E10-E32+G10-G32+I10-I32+C10, 0)</f>
        <v>33.35</v>
      </c>
      <c r="J56" s="33" t="s">
        <v>20</v>
      </c>
      <c r="K56" s="21">
        <f>IF(E10-E32+G10-G32+I10-I32+K10-K32+C10 &gt; 0,E10-E32+G10-G32+I10-I32+K10-K32+C10, 0)</f>
        <v>33.35</v>
      </c>
      <c r="L56" s="33" t="s">
        <v>20</v>
      </c>
      <c r="M56" s="21">
        <f>IF(G10-G32+I10-I32+K10-K32+M10-M32+$C10+E10-E32 &gt; 0,G10-G32+I10-I32+K10-K32+M10-M32+$C10+E10-E32, 0)</f>
        <v>33.349999999999994</v>
      </c>
      <c r="N56" s="33" t="s">
        <v>20</v>
      </c>
      <c r="O56" s="21">
        <f>IF(I10-I32+K10-K32+M10-M32+O10-O32+$C10+G10-G32+E10-E32 &gt; 0,I10-I32+K10-K32+M10-M32+O10-O32+$C10+G10-G32+E10-E32, 0)</f>
        <v>33.349999999999994</v>
      </c>
      <c r="P56" s="33" t="s">
        <v>20</v>
      </c>
      <c r="Q56" s="21">
        <f>IF(K10-K32+M10-M32+O10-O32+Q10-Q32+$C10+I10-I32+G10-G32+E10-E32 &gt; 0,K10-K32+M10-M32+O10-O32+Q10-Q32+$C10+I10-I32+G10-G32+E10-E32, 0)</f>
        <v>33.350000000000023</v>
      </c>
      <c r="R56" s="33" t="s">
        <v>20</v>
      </c>
      <c r="S56" s="21">
        <f>IF(M10-M32+O10-O32+Q10-Q32+S10-S32+$C10+K10-K32+I10-I32+G10-G32+E10-E32 &gt; 0,M10-M32+O10-O32+Q10-Q32+S10-S32+$C10+K10-K32+I10-I32+G10-G32+E10-E32, 0)</f>
        <v>33.350000000000023</v>
      </c>
      <c r="T56" s="33" t="s">
        <v>20</v>
      </c>
      <c r="U56" s="21">
        <f>IF(O10-O32+Q10-Q32+S10-S32+U10-U32+$C10+M10-M32+K10-K32+I10-I32+G10-G32+E10-E32 &gt; 0,O10-O32+Q10-Q32+S10-S32+U10-U32+$C10+M10-M32+K10-K32+I10-I32+G10-G32+E10-E32, 0)</f>
        <v>33.350000000000023</v>
      </c>
    </row>
    <row r="57" spans="3:21" x14ac:dyDescent="0.3">
      <c r="D57" s="33" t="s">
        <v>21</v>
      </c>
      <c r="E57" s="21">
        <f>IF($C$13+$E$13-$E$33 &gt; 0, $C$13+$E$13-$E$33, 0)</f>
        <v>455.58</v>
      </c>
      <c r="F57" s="33" t="s">
        <v>21</v>
      </c>
      <c r="G57" s="21">
        <f>IF(E13-E33+G13-G33+C13 &gt; 0, E13-E33+G13-G33+C13, 0)</f>
        <v>455.58</v>
      </c>
      <c r="H57" s="33" t="s">
        <v>21</v>
      </c>
      <c r="I57" s="21">
        <f>IF(E13-E33+G13-G33+I13-I33+C13 &gt; 0, E13-E33+G13-G33+I13-I33+C13, 0)</f>
        <v>458.46831215970957</v>
      </c>
      <c r="J57" s="33" t="s">
        <v>21</v>
      </c>
      <c r="K57" s="21">
        <f>IF(G13-G33+I13-I33+K13-K33+C13+E13-E33 &gt; 0, G13-G33+I13-I33+K13-K33+C13+E13-E33, 0)</f>
        <v>458.46831215970957</v>
      </c>
      <c r="L57" s="33" t="s">
        <v>21</v>
      </c>
      <c r="M57" s="21">
        <f>IF(I13-I33+K13-K33+M13-M33+$C13+G13-G33+E13-E33 &gt; 0, I13-I33+K13-K33+M13-M33+$C13+G13-G33+E13-E33, 0)</f>
        <v>458.46831215970946</v>
      </c>
      <c r="N57" s="33" t="s">
        <v>21</v>
      </c>
      <c r="O57" s="21">
        <f>IF(K13-K33+M13-M33+O13-O33+$C13+I13-I33+G13-G33+E13-E33 &gt; 0, K13-K33+M13-M33+O13-O33+$C13+I13-I33+G13-G33+E13-E33, 0)</f>
        <v>458.46831215970946</v>
      </c>
      <c r="P57" s="33" t="s">
        <v>21</v>
      </c>
      <c r="Q57" s="21">
        <f>IF(M13-M33+O13-O33+Q13-Q33+$C13+K13-K33+I13-I33+G13-G33+E13-E33 &gt; 0, M13-M33+O13-O33+Q13-Q33+$C13+K13-K33+I13-I33+G13-G33+E13-E33, 0)</f>
        <v>458.46831215970946</v>
      </c>
      <c r="R57" s="33" t="s">
        <v>21</v>
      </c>
      <c r="S57" s="21">
        <f>IF(O13-O33+Q13-Q33+S13-S33+$C13+M13-M33+K13-K33+I13-I33+G13-G33+E13-E33 &gt; 0, O13-O33+Q13-Q33+S13-S33+$C13+M13-M33+K13-K33+I13-I33+G13-G33+E13-E33, 0)</f>
        <v>458.46831215970946</v>
      </c>
      <c r="T57" s="33" t="s">
        <v>21</v>
      </c>
      <c r="U57" s="21">
        <f>IF(Q13-Q33+S13-S33+U13-U33+$C13+O13-O33+M13-M33+K13-K33+I13-I33+G13-G33+E13-E33 &gt; 0, Q13-Q33+S13-S33+U13-U33+$C13+O13-O33+M13-M33+K13-K33+I13-I33+G13-G33+E13-E33, 0)</f>
        <v>458.46831215970946</v>
      </c>
    </row>
    <row r="58" spans="3:21" ht="15" customHeight="1" thickBot="1" x14ac:dyDescent="0.35">
      <c r="D58" s="34" t="s">
        <v>22</v>
      </c>
      <c r="E58" s="21">
        <f>IF($C$16+$E$16-$E$34 &gt; 0, $C$16+$E$16-$E$34, 0)</f>
        <v>751.67</v>
      </c>
      <c r="F58" s="34" t="s">
        <v>22</v>
      </c>
      <c r="G58" s="21">
        <f>IF(E16-E34+G16-G34+C16 &gt; 0, E16-E34+G16-G34+C16, 0)</f>
        <v>751.67</v>
      </c>
      <c r="H58" s="34" t="s">
        <v>22</v>
      </c>
      <c r="I58" s="21">
        <f>IF(E16-E34+G16-G34+I16-I34+C16 &gt; 0, E16-E34+G16-G34+I16-I34+C16, 0)</f>
        <v>751.67</v>
      </c>
      <c r="J58" s="34" t="s">
        <v>22</v>
      </c>
      <c r="K58" s="21">
        <f>IF(G16-G34+I16-I34+K16-K34+$C16+E16-E34 &gt; 0, G16-G34+I16-I34+K16-K34+$C16, 0)</f>
        <v>751.67</v>
      </c>
      <c r="L58" s="34" t="s">
        <v>22</v>
      </c>
      <c r="M58" s="21">
        <f>IF(I16-I34+K16-K34+M16-M34+$C16+G16-G34+E16-E34 &gt; 0, I16-I34+K16-K34+M16-M34+$C16, 0)</f>
        <v>751.67</v>
      </c>
      <c r="N58" s="34" t="s">
        <v>22</v>
      </c>
      <c r="O58" s="21">
        <f>IF(K16-K34+M16-M34+O16-O34+$C16+I16-I34+G16-G34+E16-E34 &gt; 0,K16-K34+M16-M34+O16-O34+$C16+I16-I34+G16-G34+E16-E34, 0)</f>
        <v>751.67000000000019</v>
      </c>
      <c r="P58" s="34" t="s">
        <v>22</v>
      </c>
      <c r="Q58" s="21">
        <f>IF(M16-M34+O16-O34+Q16-Q34+$C16+K16-K34+I16-I34+G16-G34+E16-E34 &gt; 0,M16-M34+O16-O34+Q16-Q34+$C16+K16-K34+I16-I34+G16-G34+E16-E34, 0)</f>
        <v>751.66999999999973</v>
      </c>
      <c r="R58" s="34" t="s">
        <v>22</v>
      </c>
      <c r="S58" s="21">
        <f>IF(O16-O34+Q16-Q34+S16-S34+$C16+M16-M34+K16-K34+I16-I34+G16-G34+E16-E34 &gt; 0,O16-O34+Q16-Q34+S16-S34+$C16+M16-M34+K16-K34+I16-I34+G16-G34+E16-E34, 0)</f>
        <v>751.66999999999973</v>
      </c>
      <c r="T58" s="34" t="s">
        <v>22</v>
      </c>
      <c r="U58" s="21">
        <f>IF(Q16-Q34+S16-S34+U16-U34+$C16+O16-O34+M16-M34+K16-K34+I16-I34+G16-G34+E16-E34 &gt; 0,Q16-Q34+S16-S34+U16-U34+$C16+O16-O34+M16-M34+K16-K34+I16-I34+G16-G34+E16-E34, 0)</f>
        <v>751.66999999999973</v>
      </c>
    </row>
    <row r="59" spans="3:21" ht="18.600000000000001" customHeight="1" thickBot="1" x14ac:dyDescent="0.4">
      <c r="D59" s="26" t="s">
        <v>72</v>
      </c>
      <c r="E59" s="24">
        <f>SUM(E54:E58)</f>
        <v>1462.4099999999999</v>
      </c>
      <c r="F59" s="26" t="s">
        <v>72</v>
      </c>
      <c r="G59" s="24">
        <f>SUM(G54:G58)</f>
        <v>1462.4099999999999</v>
      </c>
      <c r="H59" s="26" t="s">
        <v>72</v>
      </c>
      <c r="I59" s="24">
        <f>SUM(I54:I58)</f>
        <v>1465.2983121597094</v>
      </c>
      <c r="J59" s="26" t="s">
        <v>72</v>
      </c>
      <c r="K59" s="24">
        <f>SUM(K54:K58)</f>
        <v>1461.7482492666277</v>
      </c>
      <c r="L59" s="26" t="s">
        <v>72</v>
      </c>
      <c r="M59" s="24">
        <f>SUM(M54:M58)</f>
        <v>1461.7482492666277</v>
      </c>
      <c r="N59" s="26" t="s">
        <v>72</v>
      </c>
      <c r="O59" s="24">
        <f>SUM(O54:O58)</f>
        <v>1461.7482492666277</v>
      </c>
      <c r="P59" s="26" t="s">
        <v>72</v>
      </c>
      <c r="Q59" s="24">
        <f>SUM(Q54:Q58)</f>
        <v>1461.7482492666275</v>
      </c>
      <c r="R59" s="26" t="s">
        <v>72</v>
      </c>
      <c r="S59" s="24">
        <f>SUM(S54:S58)</f>
        <v>1461.7482492666275</v>
      </c>
      <c r="T59" s="26" t="s">
        <v>72</v>
      </c>
      <c r="U59" s="24">
        <f>SUM(U54:U58)</f>
        <v>1461.7482492666275</v>
      </c>
    </row>
    <row r="62" spans="3:21" ht="15" customHeight="1" thickBot="1" x14ac:dyDescent="0.35"/>
    <row r="63" spans="3:21" ht="15" customHeight="1" thickBot="1" x14ac:dyDescent="0.35">
      <c r="C63" s="70" t="s">
        <v>73</v>
      </c>
      <c r="D63" s="117" t="s">
        <v>74</v>
      </c>
      <c r="E63" s="118"/>
      <c r="F63" s="117" t="s">
        <v>75</v>
      </c>
      <c r="G63" s="118"/>
      <c r="H63" s="117" t="s">
        <v>76</v>
      </c>
      <c r="I63" s="118"/>
      <c r="J63" s="117" t="s">
        <v>77</v>
      </c>
      <c r="K63" s="118"/>
      <c r="L63" s="117" t="s">
        <v>78</v>
      </c>
      <c r="M63" s="118"/>
      <c r="N63" s="117" t="s">
        <v>79</v>
      </c>
      <c r="O63" s="118"/>
      <c r="P63" s="117" t="s">
        <v>80</v>
      </c>
      <c r="Q63" s="118"/>
      <c r="R63" s="117" t="s">
        <v>81</v>
      </c>
      <c r="S63" s="118"/>
    </row>
    <row r="64" spans="3:21" x14ac:dyDescent="0.3">
      <c r="D64" s="37" t="s">
        <v>16</v>
      </c>
      <c r="E64" s="93" t="s">
        <v>82</v>
      </c>
      <c r="F64" s="37" t="s">
        <v>16</v>
      </c>
      <c r="G64" s="93" t="s">
        <v>83</v>
      </c>
      <c r="H64" s="37" t="s">
        <v>16</v>
      </c>
      <c r="I64" s="93" t="s">
        <v>84</v>
      </c>
      <c r="J64" s="37" t="s">
        <v>16</v>
      </c>
      <c r="K64" s="93" t="s">
        <v>85</v>
      </c>
      <c r="L64" s="37" t="s">
        <v>16</v>
      </c>
      <c r="M64" s="93" t="s">
        <v>86</v>
      </c>
      <c r="N64" s="37" t="s">
        <v>16</v>
      </c>
      <c r="O64" s="93" t="s">
        <v>86</v>
      </c>
      <c r="P64" s="37" t="s">
        <v>16</v>
      </c>
      <c r="Q64" s="93" t="s">
        <v>86</v>
      </c>
      <c r="R64" s="37" t="s">
        <v>16</v>
      </c>
      <c r="S64" s="93" t="s">
        <v>86</v>
      </c>
    </row>
    <row r="65" spans="1:21" x14ac:dyDescent="0.3">
      <c r="D65" s="33" t="s">
        <v>34</v>
      </c>
      <c r="E65" s="93" t="s">
        <v>86</v>
      </c>
      <c r="F65" s="33" t="s">
        <v>34</v>
      </c>
      <c r="G65" s="93" t="s">
        <v>87</v>
      </c>
      <c r="H65" s="33" t="s">
        <v>34</v>
      </c>
      <c r="I65" s="93" t="s">
        <v>88</v>
      </c>
      <c r="J65" s="33" t="s">
        <v>34</v>
      </c>
      <c r="K65" s="93" t="s">
        <v>86</v>
      </c>
      <c r="L65" s="33" t="s">
        <v>34</v>
      </c>
      <c r="M65" s="93" t="s">
        <v>86</v>
      </c>
      <c r="N65" s="33" t="s">
        <v>34</v>
      </c>
      <c r="O65" s="93" t="s">
        <v>86</v>
      </c>
      <c r="P65" s="33" t="s">
        <v>34</v>
      </c>
      <c r="Q65" s="93" t="s">
        <v>86</v>
      </c>
      <c r="R65" s="33" t="s">
        <v>34</v>
      </c>
      <c r="S65" s="93" t="s">
        <v>86</v>
      </c>
    </row>
    <row r="66" spans="1:21" x14ac:dyDescent="0.3">
      <c r="D66" s="33" t="s">
        <v>20</v>
      </c>
      <c r="E66" s="93" t="s">
        <v>89</v>
      </c>
      <c r="F66" s="33" t="s">
        <v>20</v>
      </c>
      <c r="G66" s="93" t="s">
        <v>90</v>
      </c>
      <c r="H66" s="33" t="s">
        <v>20</v>
      </c>
      <c r="I66" s="93" t="s">
        <v>91</v>
      </c>
      <c r="J66" s="33" t="s">
        <v>20</v>
      </c>
      <c r="K66" s="93" t="s">
        <v>92</v>
      </c>
      <c r="L66" s="33" t="s">
        <v>20</v>
      </c>
      <c r="M66" s="93" t="s">
        <v>86</v>
      </c>
      <c r="N66" s="33" t="s">
        <v>20</v>
      </c>
      <c r="O66" s="93" t="s">
        <v>86</v>
      </c>
      <c r="P66" s="33" t="s">
        <v>20</v>
      </c>
      <c r="Q66" s="93" t="s">
        <v>86</v>
      </c>
      <c r="R66" s="33" t="s">
        <v>20</v>
      </c>
      <c r="S66" s="93" t="s">
        <v>86</v>
      </c>
    </row>
    <row r="67" spans="1:21" x14ac:dyDescent="0.3">
      <c r="D67" s="33" t="s">
        <v>21</v>
      </c>
      <c r="E67" s="93" t="s">
        <v>93</v>
      </c>
      <c r="F67" s="33" t="s">
        <v>21</v>
      </c>
      <c r="G67" s="93" t="s">
        <v>94</v>
      </c>
      <c r="H67" s="33" t="s">
        <v>21</v>
      </c>
      <c r="I67" s="94" t="s">
        <v>95</v>
      </c>
      <c r="J67" s="33" t="s">
        <v>21</v>
      </c>
      <c r="K67" s="94" t="s">
        <v>96</v>
      </c>
      <c r="L67" s="33" t="s">
        <v>21</v>
      </c>
      <c r="M67" s="93" t="s">
        <v>86</v>
      </c>
      <c r="N67" s="33" t="s">
        <v>21</v>
      </c>
      <c r="O67" s="93" t="s">
        <v>86</v>
      </c>
      <c r="P67" s="33" t="s">
        <v>21</v>
      </c>
      <c r="Q67" s="93" t="s">
        <v>86</v>
      </c>
      <c r="R67" s="33" t="s">
        <v>21</v>
      </c>
      <c r="S67" s="93" t="s">
        <v>86</v>
      </c>
    </row>
    <row r="68" spans="1:21" ht="15" customHeight="1" thickBot="1" x14ac:dyDescent="0.35">
      <c r="D68" s="34" t="s">
        <v>22</v>
      </c>
      <c r="E68" s="93" t="s">
        <v>97</v>
      </c>
      <c r="F68" s="34" t="s">
        <v>22</v>
      </c>
      <c r="G68" s="93" t="s">
        <v>98</v>
      </c>
      <c r="H68" s="34" t="s">
        <v>22</v>
      </c>
      <c r="I68" s="93" t="s">
        <v>99</v>
      </c>
      <c r="J68" s="34" t="s">
        <v>22</v>
      </c>
      <c r="K68" s="94" t="s">
        <v>100</v>
      </c>
      <c r="L68" s="34" t="s">
        <v>22</v>
      </c>
      <c r="M68" s="93" t="s">
        <v>86</v>
      </c>
      <c r="N68" s="34" t="s">
        <v>22</v>
      </c>
      <c r="O68" s="93" t="s">
        <v>86</v>
      </c>
      <c r="P68" s="34" t="s">
        <v>22</v>
      </c>
      <c r="Q68" s="93" t="s">
        <v>86</v>
      </c>
      <c r="R68" s="34" t="s">
        <v>22</v>
      </c>
      <c r="S68" s="93" t="s">
        <v>86</v>
      </c>
    </row>
    <row r="69" spans="1:21" ht="18.600000000000001" customHeight="1" thickBot="1" x14ac:dyDescent="0.4">
      <c r="D69" s="26" t="s">
        <v>23</v>
      </c>
      <c r="E69" s="95" t="s">
        <v>101</v>
      </c>
      <c r="F69" s="26" t="s">
        <v>23</v>
      </c>
      <c r="G69" s="95" t="s">
        <v>102</v>
      </c>
      <c r="H69" s="26" t="s">
        <v>23</v>
      </c>
      <c r="I69" s="95" t="s">
        <v>103</v>
      </c>
      <c r="J69" s="26" t="s">
        <v>23</v>
      </c>
      <c r="K69" s="95" t="s">
        <v>104</v>
      </c>
      <c r="L69" s="26" t="s">
        <v>23</v>
      </c>
      <c r="M69" s="95" t="s">
        <v>86</v>
      </c>
      <c r="N69" s="26" t="s">
        <v>23</v>
      </c>
      <c r="O69" s="95" t="s">
        <v>86</v>
      </c>
      <c r="P69" s="26" t="s">
        <v>23</v>
      </c>
      <c r="Q69" s="95" t="s">
        <v>86</v>
      </c>
      <c r="R69" s="26" t="s">
        <v>23</v>
      </c>
      <c r="S69" s="95" t="s">
        <v>86</v>
      </c>
    </row>
    <row r="71" spans="1:21" ht="15" customHeight="1" thickBot="1" x14ac:dyDescent="0.35"/>
    <row r="72" spans="1:21" ht="15" customHeight="1" thickBot="1" x14ac:dyDescent="0.35">
      <c r="C72" s="71" t="s">
        <v>105</v>
      </c>
      <c r="D72" s="136" t="s">
        <v>106</v>
      </c>
      <c r="E72" s="137"/>
      <c r="F72" s="136" t="s">
        <v>107</v>
      </c>
      <c r="G72" s="137"/>
      <c r="H72" s="136" t="s">
        <v>108</v>
      </c>
      <c r="I72" s="137"/>
      <c r="J72" s="136" t="s">
        <v>109</v>
      </c>
      <c r="K72" s="137"/>
      <c r="L72" s="139" t="s">
        <v>110</v>
      </c>
      <c r="M72" s="140"/>
      <c r="N72" s="139" t="s">
        <v>111</v>
      </c>
      <c r="O72" s="140"/>
      <c r="P72" s="136" t="s">
        <v>112</v>
      </c>
      <c r="Q72" s="137"/>
      <c r="R72" s="136" t="s">
        <v>113</v>
      </c>
      <c r="S72" s="137"/>
      <c r="T72" s="139" t="s">
        <v>114</v>
      </c>
      <c r="U72" s="140"/>
    </row>
    <row r="73" spans="1:21" ht="15" customHeight="1" thickBot="1" x14ac:dyDescent="0.35">
      <c r="A73" s="63" t="s">
        <v>16</v>
      </c>
      <c r="C73" s="73"/>
      <c r="D73" s="121"/>
      <c r="E73" s="118"/>
      <c r="F73" s="121"/>
      <c r="G73" s="118"/>
      <c r="H73" s="122"/>
      <c r="I73" s="123"/>
      <c r="J73" s="121"/>
      <c r="K73" s="118"/>
      <c r="L73" s="124"/>
      <c r="M73" s="118"/>
      <c r="N73" s="125"/>
      <c r="O73" s="123"/>
      <c r="P73" s="122"/>
      <c r="Q73" s="123"/>
      <c r="R73" s="121"/>
      <c r="S73" s="118"/>
      <c r="T73" s="124">
        <v>0</v>
      </c>
      <c r="U73" s="118"/>
    </row>
    <row r="74" spans="1:21" ht="15" customHeight="1" x14ac:dyDescent="0.3">
      <c r="A74" s="65" t="s">
        <v>17</v>
      </c>
      <c r="C74" s="67">
        <v>10.62</v>
      </c>
      <c r="D74" s="132">
        <v>0</v>
      </c>
      <c r="E74" s="120"/>
      <c r="F74" s="132"/>
      <c r="G74" s="120"/>
      <c r="H74" s="135"/>
      <c r="I74" s="134"/>
      <c r="J74" s="132"/>
      <c r="K74" s="120"/>
      <c r="L74" s="119"/>
      <c r="M74" s="120"/>
      <c r="N74" s="133"/>
      <c r="O74" s="134"/>
      <c r="P74" s="135"/>
      <c r="Q74" s="134"/>
      <c r="R74" s="132"/>
      <c r="S74" s="120"/>
      <c r="T74" s="119">
        <v>0</v>
      </c>
      <c r="U74" s="120"/>
    </row>
    <row r="75" spans="1:21" ht="15" customHeight="1" thickBot="1" x14ac:dyDescent="0.35">
      <c r="A75" s="65" t="s">
        <v>18</v>
      </c>
      <c r="C75" s="68">
        <v>5.46</v>
      </c>
      <c r="D75" s="126">
        <v>0</v>
      </c>
      <c r="E75" s="127"/>
      <c r="F75" s="126"/>
      <c r="G75" s="127"/>
      <c r="H75" s="131"/>
      <c r="I75" s="130"/>
      <c r="J75" s="126"/>
      <c r="K75" s="127"/>
      <c r="L75" s="128"/>
      <c r="M75" s="127"/>
      <c r="N75" s="129"/>
      <c r="O75" s="130"/>
      <c r="P75" s="131"/>
      <c r="Q75" s="130"/>
      <c r="R75" s="126"/>
      <c r="S75" s="127"/>
      <c r="T75" s="128">
        <v>0</v>
      </c>
      <c r="U75" s="127"/>
    </row>
    <row r="76" spans="1:21" ht="15" customHeight="1" thickBot="1" x14ac:dyDescent="0.35">
      <c r="A76" s="64" t="s">
        <v>19</v>
      </c>
      <c r="C76" s="73"/>
      <c r="D76" s="121"/>
      <c r="E76" s="118"/>
      <c r="F76" s="121"/>
      <c r="G76" s="118"/>
      <c r="H76" s="122"/>
      <c r="I76" s="123"/>
      <c r="J76" s="121"/>
      <c r="K76" s="118"/>
      <c r="L76" s="124"/>
      <c r="M76" s="118"/>
      <c r="N76" s="125"/>
      <c r="O76" s="123"/>
      <c r="P76" s="122"/>
      <c r="Q76" s="123"/>
      <c r="R76" s="121"/>
      <c r="S76" s="118"/>
      <c r="T76" s="124">
        <v>0</v>
      </c>
      <c r="U76" s="118"/>
    </row>
    <row r="77" spans="1:21" ht="15" customHeight="1" x14ac:dyDescent="0.3">
      <c r="A77" s="65" t="s">
        <v>17</v>
      </c>
      <c r="C77" s="67">
        <v>0.64</v>
      </c>
      <c r="D77" s="132">
        <v>0</v>
      </c>
      <c r="E77" s="120"/>
      <c r="F77" s="132"/>
      <c r="G77" s="120"/>
      <c r="H77" s="135"/>
      <c r="I77" s="134"/>
      <c r="J77" s="132"/>
      <c r="K77" s="120"/>
      <c r="L77" s="119"/>
      <c r="M77" s="120"/>
      <c r="N77" s="133"/>
      <c r="O77" s="134"/>
      <c r="P77" s="135"/>
      <c r="Q77" s="134"/>
      <c r="R77" s="132"/>
      <c r="S77" s="120"/>
      <c r="T77" s="119">
        <v>0</v>
      </c>
      <c r="U77" s="120"/>
    </row>
    <row r="78" spans="1:21" ht="15" customHeight="1" thickBot="1" x14ac:dyDescent="0.35">
      <c r="A78" s="65" t="s">
        <v>18</v>
      </c>
      <c r="C78" s="68">
        <v>0.56000000000000005</v>
      </c>
      <c r="D78" s="126">
        <v>0</v>
      </c>
      <c r="E78" s="127"/>
      <c r="F78" s="126"/>
      <c r="G78" s="127"/>
      <c r="H78" s="131"/>
      <c r="I78" s="130"/>
      <c r="J78" s="126"/>
      <c r="K78" s="127"/>
      <c r="L78" s="128"/>
      <c r="M78" s="127"/>
      <c r="N78" s="129"/>
      <c r="O78" s="130"/>
      <c r="P78" s="131"/>
      <c r="Q78" s="130"/>
      <c r="R78" s="126"/>
      <c r="S78" s="127"/>
      <c r="T78" s="128">
        <v>0</v>
      </c>
      <c r="U78" s="127"/>
    </row>
    <row r="79" spans="1:21" ht="15" customHeight="1" thickBot="1" x14ac:dyDescent="0.35">
      <c r="A79" s="64" t="s">
        <v>20</v>
      </c>
      <c r="C79" s="73"/>
      <c r="D79" s="121"/>
      <c r="E79" s="118"/>
      <c r="F79" s="121"/>
      <c r="G79" s="118"/>
      <c r="H79" s="122"/>
      <c r="I79" s="123"/>
      <c r="J79" s="121"/>
      <c r="K79" s="118"/>
      <c r="L79" s="124"/>
      <c r="M79" s="118"/>
      <c r="N79" s="125"/>
      <c r="O79" s="123"/>
      <c r="P79" s="122"/>
      <c r="Q79" s="123"/>
      <c r="R79" s="121"/>
      <c r="S79" s="118"/>
      <c r="T79" s="124">
        <v>0</v>
      </c>
      <c r="U79" s="118"/>
    </row>
    <row r="80" spans="1:21" ht="15" customHeight="1" x14ac:dyDescent="0.3">
      <c r="A80" s="65" t="s">
        <v>17</v>
      </c>
      <c r="C80" s="67">
        <v>2.02</v>
      </c>
      <c r="D80" s="132">
        <v>0</v>
      </c>
      <c r="E80" s="120"/>
      <c r="F80" s="132"/>
      <c r="G80" s="120"/>
      <c r="H80" s="135"/>
      <c r="I80" s="134"/>
      <c r="J80" s="132"/>
      <c r="K80" s="120"/>
      <c r="L80" s="119"/>
      <c r="M80" s="120"/>
      <c r="N80" s="133"/>
      <c r="O80" s="134"/>
      <c r="P80" s="135"/>
      <c r="Q80" s="134"/>
      <c r="R80" s="132"/>
      <c r="S80" s="120"/>
      <c r="T80" s="119">
        <v>0</v>
      </c>
      <c r="U80" s="120"/>
    </row>
    <row r="81" spans="1:21" ht="15" customHeight="1" thickBot="1" x14ac:dyDescent="0.35">
      <c r="A81" s="65" t="s">
        <v>18</v>
      </c>
      <c r="C81" s="68">
        <v>2.9</v>
      </c>
      <c r="D81" s="126">
        <v>0</v>
      </c>
      <c r="E81" s="127"/>
      <c r="F81" s="126"/>
      <c r="G81" s="127"/>
      <c r="H81" s="131"/>
      <c r="I81" s="130"/>
      <c r="J81" s="126"/>
      <c r="K81" s="127"/>
      <c r="L81" s="128"/>
      <c r="M81" s="127"/>
      <c r="N81" s="129"/>
      <c r="O81" s="130"/>
      <c r="P81" s="131"/>
      <c r="Q81" s="130"/>
      <c r="R81" s="126"/>
      <c r="S81" s="127"/>
      <c r="T81" s="128">
        <v>0</v>
      </c>
      <c r="U81" s="127"/>
    </row>
    <row r="82" spans="1:21" ht="15" customHeight="1" thickBot="1" x14ac:dyDescent="0.35">
      <c r="A82" s="64" t="s">
        <v>21</v>
      </c>
      <c r="C82" s="73"/>
      <c r="D82" s="121"/>
      <c r="E82" s="118"/>
      <c r="F82" s="121"/>
      <c r="G82" s="118"/>
      <c r="H82" s="122"/>
      <c r="I82" s="123"/>
      <c r="J82" s="121"/>
      <c r="K82" s="118"/>
      <c r="L82" s="124"/>
      <c r="M82" s="118"/>
      <c r="N82" s="125"/>
      <c r="O82" s="123"/>
      <c r="P82" s="122"/>
      <c r="Q82" s="123"/>
      <c r="R82" s="121"/>
      <c r="S82" s="118"/>
      <c r="T82" s="124">
        <v>0</v>
      </c>
      <c r="U82" s="118"/>
    </row>
    <row r="83" spans="1:21" ht="15" customHeight="1" x14ac:dyDescent="0.3">
      <c r="A83" s="65" t="s">
        <v>17</v>
      </c>
      <c r="C83" s="67">
        <v>22.36</v>
      </c>
      <c r="D83" s="132">
        <v>0</v>
      </c>
      <c r="E83" s="120"/>
      <c r="F83" s="132"/>
      <c r="G83" s="120"/>
      <c r="H83" s="135"/>
      <c r="I83" s="134"/>
      <c r="J83" s="132"/>
      <c r="K83" s="120"/>
      <c r="L83" s="119"/>
      <c r="M83" s="120"/>
      <c r="N83" s="133"/>
      <c r="O83" s="134"/>
      <c r="P83" s="135"/>
      <c r="Q83" s="134"/>
      <c r="R83" s="132"/>
      <c r="S83" s="120"/>
      <c r="T83" s="119">
        <v>0</v>
      </c>
      <c r="U83" s="120"/>
    </row>
    <row r="84" spans="1:21" ht="15" customHeight="1" thickBot="1" x14ac:dyDescent="0.35">
      <c r="A84" s="65" t="s">
        <v>18</v>
      </c>
      <c r="C84" s="68">
        <v>10.25</v>
      </c>
      <c r="D84" s="126">
        <v>0</v>
      </c>
      <c r="E84" s="127"/>
      <c r="F84" s="126"/>
      <c r="G84" s="127"/>
      <c r="H84" s="131"/>
      <c r="I84" s="130"/>
      <c r="J84" s="126"/>
      <c r="K84" s="127"/>
      <c r="L84" s="128"/>
      <c r="M84" s="127"/>
      <c r="N84" s="129"/>
      <c r="O84" s="130"/>
      <c r="P84" s="131"/>
      <c r="Q84" s="130"/>
      <c r="R84" s="126"/>
      <c r="S84" s="127"/>
      <c r="T84" s="128">
        <v>0</v>
      </c>
      <c r="U84" s="127"/>
    </row>
    <row r="85" spans="1:21" ht="15" customHeight="1" thickBot="1" x14ac:dyDescent="0.35">
      <c r="A85" s="64" t="s">
        <v>22</v>
      </c>
      <c r="C85" s="73"/>
      <c r="D85" s="121"/>
      <c r="E85" s="118"/>
      <c r="F85" s="121"/>
      <c r="G85" s="118"/>
      <c r="H85" s="122"/>
      <c r="I85" s="123"/>
      <c r="J85" s="121"/>
      <c r="K85" s="118"/>
      <c r="L85" s="124"/>
      <c r="M85" s="118"/>
      <c r="N85" s="125"/>
      <c r="O85" s="123"/>
      <c r="P85" s="122"/>
      <c r="Q85" s="123"/>
      <c r="R85" s="121"/>
      <c r="S85" s="118"/>
      <c r="T85" s="124">
        <v>0</v>
      </c>
      <c r="U85" s="118"/>
    </row>
    <row r="86" spans="1:21" ht="15" customHeight="1" x14ac:dyDescent="0.3">
      <c r="A86" s="65" t="s">
        <v>17</v>
      </c>
      <c r="C86" s="67">
        <v>31.19</v>
      </c>
      <c r="D86" s="132">
        <v>0</v>
      </c>
      <c r="E86" s="120"/>
      <c r="F86" s="132"/>
      <c r="G86" s="120"/>
      <c r="H86" s="135"/>
      <c r="I86" s="134"/>
      <c r="J86" s="132"/>
      <c r="K86" s="120"/>
      <c r="L86" s="119"/>
      <c r="M86" s="120"/>
      <c r="N86" s="133"/>
      <c r="O86" s="134"/>
      <c r="P86" s="135"/>
      <c r="Q86" s="134"/>
      <c r="R86" s="132"/>
      <c r="S86" s="120"/>
      <c r="T86" s="119">
        <v>0</v>
      </c>
      <c r="U86" s="120"/>
    </row>
    <row r="87" spans="1:21" ht="15" customHeight="1" thickBot="1" x14ac:dyDescent="0.35">
      <c r="A87" s="66" t="s">
        <v>18</v>
      </c>
      <c r="C87" s="68">
        <v>10.45</v>
      </c>
      <c r="D87" s="126">
        <v>0</v>
      </c>
      <c r="E87" s="127"/>
      <c r="F87" s="126"/>
      <c r="G87" s="127"/>
      <c r="H87" s="131"/>
      <c r="I87" s="130"/>
      <c r="J87" s="126"/>
      <c r="K87" s="127"/>
      <c r="L87" s="128"/>
      <c r="M87" s="127"/>
      <c r="N87" s="129"/>
      <c r="O87" s="130"/>
      <c r="P87" s="131"/>
      <c r="Q87" s="130"/>
      <c r="R87" s="126"/>
      <c r="S87" s="127"/>
      <c r="T87" s="128">
        <v>0</v>
      </c>
      <c r="U87" s="127"/>
    </row>
    <row r="88" spans="1:21" ht="15" customHeight="1" thickBot="1" x14ac:dyDescent="0.35">
      <c r="C88" s="72" t="s">
        <v>115</v>
      </c>
    </row>
  </sheetData>
  <mergeCells count="198">
    <mergeCell ref="R87:S87"/>
    <mergeCell ref="D21:E21"/>
    <mergeCell ref="L78:M78"/>
    <mergeCell ref="T87:U87"/>
    <mergeCell ref="N72:O72"/>
    <mergeCell ref="J87:K87"/>
    <mergeCell ref="N21:O21"/>
    <mergeCell ref="P72:Q72"/>
    <mergeCell ref="N81:O81"/>
    <mergeCell ref="P21:Q21"/>
    <mergeCell ref="L87:M87"/>
    <mergeCell ref="P81:Q81"/>
    <mergeCell ref="J80:K80"/>
    <mergeCell ref="R21:S21"/>
    <mergeCell ref="T79:U79"/>
    <mergeCell ref="J79:K79"/>
    <mergeCell ref="T21:U21"/>
    <mergeCell ref="T73:U73"/>
    <mergeCell ref="L73:M73"/>
    <mergeCell ref="D87:E87"/>
    <mergeCell ref="N73:O73"/>
    <mergeCell ref="F38:G38"/>
    <mergeCell ref="J63:K63"/>
    <mergeCell ref="L63:M63"/>
    <mergeCell ref="T84:U84"/>
    <mergeCell ref="D83:E83"/>
    <mergeCell ref="F77:G77"/>
    <mergeCell ref="H77:I77"/>
    <mergeCell ref="H86:I86"/>
    <mergeCell ref="J2:K2"/>
    <mergeCell ref="R77:S77"/>
    <mergeCell ref="D85:E85"/>
    <mergeCell ref="L77:M77"/>
    <mergeCell ref="L86:M86"/>
    <mergeCell ref="N86:O86"/>
    <mergeCell ref="P29:Q29"/>
    <mergeCell ref="F78:G78"/>
    <mergeCell ref="R29:S29"/>
    <mergeCell ref="P38:Q38"/>
    <mergeCell ref="H29:I29"/>
    <mergeCell ref="J72:K72"/>
    <mergeCell ref="R38:S38"/>
    <mergeCell ref="H78:I78"/>
    <mergeCell ref="D80:E80"/>
    <mergeCell ref="R79:S79"/>
    <mergeCell ref="J84:K84"/>
    <mergeCell ref="J78:K78"/>
    <mergeCell ref="D74:E74"/>
    <mergeCell ref="F87:G87"/>
    <mergeCell ref="J29:K29"/>
    <mergeCell ref="H38:I38"/>
    <mergeCell ref="J81:K81"/>
    <mergeCell ref="J38:K38"/>
    <mergeCell ref="D63:E63"/>
    <mergeCell ref="T29:U29"/>
    <mergeCell ref="D81:E81"/>
    <mergeCell ref="T38:U38"/>
    <mergeCell ref="H73:I73"/>
    <mergeCell ref="R74:S74"/>
    <mergeCell ref="T74:U74"/>
    <mergeCell ref="J74:K74"/>
    <mergeCell ref="R83:S83"/>
    <mergeCell ref="L74:M74"/>
    <mergeCell ref="T83:U83"/>
    <mergeCell ref="N82:O82"/>
    <mergeCell ref="P82:Q82"/>
    <mergeCell ref="R76:S76"/>
    <mergeCell ref="T76:U76"/>
    <mergeCell ref="R85:S85"/>
    <mergeCell ref="L76:M76"/>
    <mergeCell ref="T85:U85"/>
    <mergeCell ref="H84:I84"/>
    <mergeCell ref="P86:Q86"/>
    <mergeCell ref="R86:S86"/>
    <mergeCell ref="T2:U2"/>
    <mergeCell ref="J85:K85"/>
    <mergeCell ref="L85:M85"/>
    <mergeCell ref="H75:I75"/>
    <mergeCell ref="J75:K75"/>
    <mergeCell ref="H80:I80"/>
    <mergeCell ref="L84:M84"/>
    <mergeCell ref="T75:U75"/>
    <mergeCell ref="N84:O84"/>
    <mergeCell ref="N78:O78"/>
    <mergeCell ref="P78:Q78"/>
    <mergeCell ref="R72:S72"/>
    <mergeCell ref="T72:U72"/>
    <mergeCell ref="R81:S81"/>
    <mergeCell ref="T86:U86"/>
    <mergeCell ref="L80:M80"/>
    <mergeCell ref="N80:O80"/>
    <mergeCell ref="H21:I21"/>
    <mergeCell ref="H2:I2"/>
    <mergeCell ref="P75:Q75"/>
    <mergeCell ref="P53:Q53"/>
    <mergeCell ref="R75:S75"/>
    <mergeCell ref="B2:C2"/>
    <mergeCell ref="J77:K77"/>
    <mergeCell ref="D2:E2"/>
    <mergeCell ref="D76:E76"/>
    <mergeCell ref="N2:O2"/>
    <mergeCell ref="F76:G76"/>
    <mergeCell ref="P2:Q2"/>
    <mergeCell ref="F85:G85"/>
    <mergeCell ref="J83:K83"/>
    <mergeCell ref="H85:I85"/>
    <mergeCell ref="L83:M83"/>
    <mergeCell ref="D75:E75"/>
    <mergeCell ref="P77:Q77"/>
    <mergeCell ref="D53:E53"/>
    <mergeCell ref="F75:G75"/>
    <mergeCell ref="D29:E29"/>
    <mergeCell ref="D38:E38"/>
    <mergeCell ref="D79:E79"/>
    <mergeCell ref="F73:G73"/>
    <mergeCell ref="F21:G21"/>
    <mergeCell ref="F2:G2"/>
    <mergeCell ref="D82:E82"/>
    <mergeCell ref="F82:G82"/>
    <mergeCell ref="H76:I76"/>
    <mergeCell ref="N87:O87"/>
    <mergeCell ref="P87:Q87"/>
    <mergeCell ref="J21:K21"/>
    <mergeCell ref="L72:M72"/>
    <mergeCell ref="T81:U81"/>
    <mergeCell ref="L21:M21"/>
    <mergeCell ref="H87:I87"/>
    <mergeCell ref="L81:M81"/>
    <mergeCell ref="D73:E73"/>
    <mergeCell ref="N79:O79"/>
    <mergeCell ref="P79:Q79"/>
    <mergeCell ref="P73:Q73"/>
    <mergeCell ref="R73:S73"/>
    <mergeCell ref="J73:K73"/>
    <mergeCell ref="R82:S82"/>
    <mergeCell ref="N63:O63"/>
    <mergeCell ref="T82:U82"/>
    <mergeCell ref="P63:Q63"/>
    <mergeCell ref="F63:G63"/>
    <mergeCell ref="H63:I63"/>
    <mergeCell ref="R63:S63"/>
    <mergeCell ref="F74:G74"/>
    <mergeCell ref="T53:U53"/>
    <mergeCell ref="H74:I74"/>
    <mergeCell ref="R84:S84"/>
    <mergeCell ref="R78:S78"/>
    <mergeCell ref="D77:E77"/>
    <mergeCell ref="T78:U78"/>
    <mergeCell ref="D86:E86"/>
    <mergeCell ref="N77:O77"/>
    <mergeCell ref="F86:G86"/>
    <mergeCell ref="J53:K53"/>
    <mergeCell ref="F80:G80"/>
    <mergeCell ref="P80:Q80"/>
    <mergeCell ref="R80:S80"/>
    <mergeCell ref="T80:U80"/>
    <mergeCell ref="F79:G79"/>
    <mergeCell ref="H79:I79"/>
    <mergeCell ref="J86:K86"/>
    <mergeCell ref="D72:E72"/>
    <mergeCell ref="D78:E78"/>
    <mergeCell ref="F72:G72"/>
    <mergeCell ref="H72:I72"/>
    <mergeCell ref="F81:G81"/>
    <mergeCell ref="H81:I81"/>
    <mergeCell ref="L79:M79"/>
    <mergeCell ref="F83:G83"/>
    <mergeCell ref="H83:I83"/>
    <mergeCell ref="N85:O85"/>
    <mergeCell ref="P85:Q85"/>
    <mergeCell ref="D84:E84"/>
    <mergeCell ref="F84:G84"/>
    <mergeCell ref="L75:M75"/>
    <mergeCell ref="L53:M53"/>
    <mergeCell ref="N75:O75"/>
    <mergeCell ref="N53:O53"/>
    <mergeCell ref="P84:Q84"/>
    <mergeCell ref="J76:K76"/>
    <mergeCell ref="N74:O74"/>
    <mergeCell ref="P74:Q74"/>
    <mergeCell ref="N83:O83"/>
    <mergeCell ref="P83:Q83"/>
    <mergeCell ref="F53:G53"/>
    <mergeCell ref="L2:M2"/>
    <mergeCell ref="H53:I53"/>
    <mergeCell ref="T77:U77"/>
    <mergeCell ref="J82:K82"/>
    <mergeCell ref="H82:I82"/>
    <mergeCell ref="L82:M82"/>
    <mergeCell ref="F29:G29"/>
    <mergeCell ref="N76:O76"/>
    <mergeCell ref="P76:Q76"/>
    <mergeCell ref="L29:M29"/>
    <mergeCell ref="N29:O29"/>
    <mergeCell ref="L38:M38"/>
    <mergeCell ref="N38:O38"/>
    <mergeCell ref="R53:S53"/>
    <mergeCell ref="R2:S2"/>
  </mergeCells>
  <conditionalFormatting sqref="D23:U27">
    <cfRule type="cellIs" dxfId="1" priority="22" operator="lessThan">
      <formula>0</formula>
    </cfRule>
    <cfRule type="cellIs" dxfId="0" priority="23" operator="greaterThanOrEqual">
      <formula>0</formula>
    </cfRule>
  </conditionalFormatting>
  <hyperlinks>
    <hyperlink ref="B5" location="Details!C2" display="Details!C2" xr:uid="{00000000-0004-0000-0000-000000000000}"/>
    <hyperlink ref="C5" location="Details!C2" display="Details!C2" xr:uid="{00000000-0004-0000-0000-000001000000}"/>
    <hyperlink ref="D5" location="Details!C13" display="Details!C13" xr:uid="{00000000-0004-0000-0000-000002000000}"/>
    <hyperlink ref="E5" location="Details!C13" display="Details!C13" xr:uid="{00000000-0004-0000-0000-000003000000}"/>
    <hyperlink ref="F5" location="Details!C22" display="Details!C22" xr:uid="{00000000-0004-0000-0000-000004000000}"/>
    <hyperlink ref="G5" location="Details!C22" display="Details!C22" xr:uid="{00000000-0004-0000-0000-000005000000}"/>
    <hyperlink ref="H5" location="Details!C32" display="Details!C32" xr:uid="{00000000-0004-0000-0000-000006000000}"/>
    <hyperlink ref="I5" location="Details!C32" display="Details!C32" xr:uid="{00000000-0004-0000-0000-000007000000}"/>
    <hyperlink ref="J5" location="Details!C61" display="Details!C61" xr:uid="{00000000-0004-0000-0000-000008000000}"/>
    <hyperlink ref="K5" location="Details!C61" display="Details!C61" xr:uid="{00000000-0004-0000-0000-000009000000}"/>
    <hyperlink ref="L5" location="Details!C77" display="Details!C77" xr:uid="{00000000-0004-0000-0000-00000A000000}"/>
    <hyperlink ref="M5" location="Details!C77" display="Details!C77" xr:uid="{00000000-0004-0000-0000-00000B000000}"/>
    <hyperlink ref="B6" location="Details!C89" display="Details!C89" xr:uid="{00000000-0004-0000-0000-00000C000000}"/>
    <hyperlink ref="C6" location="Details!C89" display="Details!C89" xr:uid="{00000000-0004-0000-0000-00000D000000}"/>
    <hyperlink ref="D6" location="Details!C113" display="Details!C113" xr:uid="{00000000-0004-0000-0000-00000E000000}"/>
    <hyperlink ref="E6" location="Details!C113" display="Details!C113" xr:uid="{00000000-0004-0000-0000-00000F000000}"/>
    <hyperlink ref="F6" location="Details!C128" display="Details!C128" xr:uid="{00000000-0004-0000-0000-000010000000}"/>
    <hyperlink ref="G6" location="Details!C128" display="Details!C128" xr:uid="{00000000-0004-0000-0000-000011000000}"/>
    <hyperlink ref="H6" location="Details!C148" display="Details!C148" xr:uid="{00000000-0004-0000-0000-000012000000}"/>
    <hyperlink ref="I6" location="Details!C148" display="Details!C148" xr:uid="{00000000-0004-0000-0000-000013000000}"/>
    <hyperlink ref="J6" location="Details!C158" display="Details!C158" xr:uid="{00000000-0004-0000-0000-000014000000}"/>
    <hyperlink ref="K6" location="Details!C158" display="Details!C158" xr:uid="{00000000-0004-0000-0000-000015000000}"/>
    <hyperlink ref="L6" location="Details!C166" display="Details!C166" xr:uid="{00000000-0004-0000-0000-000016000000}"/>
    <hyperlink ref="M6" location="Details!C166" display="Details!C166" xr:uid="{00000000-0004-0000-0000-000017000000}"/>
    <hyperlink ref="B8" location="Details!C173" display="Details!C173" xr:uid="{00000000-0004-0000-0000-000018000000}"/>
    <hyperlink ref="C8" location="Details!C173" display="Details!C173" xr:uid="{00000000-0004-0000-0000-000019000000}"/>
    <hyperlink ref="H8" location="Details!C180" display="Details!C180" xr:uid="{00000000-0004-0000-0000-00001A000000}"/>
    <hyperlink ref="I8" location="Details!C180" display="Details!C180" xr:uid="{00000000-0004-0000-0000-00001B000000}"/>
    <hyperlink ref="J8" location="Details!C187" display="Details!C187" xr:uid="{00000000-0004-0000-0000-00001C000000}"/>
    <hyperlink ref="K8" location="Details!C187" display="Details!C187" xr:uid="{00000000-0004-0000-0000-00001D000000}"/>
    <hyperlink ref="L8" location="Details!C194" display="Details!C194" xr:uid="{00000000-0004-0000-0000-00001E000000}"/>
    <hyperlink ref="M8" location="Details!C194" display="Details!C194" xr:uid="{00000000-0004-0000-0000-00001F000000}"/>
    <hyperlink ref="B9" location="Details!C201" display="Details!C201" xr:uid="{00000000-0004-0000-0000-000020000000}"/>
    <hyperlink ref="C9" location="Details!C201" display="Details!C201" xr:uid="{00000000-0004-0000-0000-000021000000}"/>
    <hyperlink ref="D9" location="Details!C217" display="Details!C217" xr:uid="{00000000-0004-0000-0000-000022000000}"/>
    <hyperlink ref="E9" location="Details!C217" display="Details!C217" xr:uid="{00000000-0004-0000-0000-000023000000}"/>
    <hyperlink ref="F9" location="Details!C227" display="Details!C227" xr:uid="{00000000-0004-0000-0000-000024000000}"/>
    <hyperlink ref="G9" location="Details!C227" display="Details!C227" xr:uid="{00000000-0004-0000-0000-000025000000}"/>
    <hyperlink ref="H9" location="Details!C234" display="Details!C234" xr:uid="{00000000-0004-0000-0000-000026000000}"/>
    <hyperlink ref="I9" location="Details!C234" display="Details!C234" xr:uid="{00000000-0004-0000-0000-000027000000}"/>
    <hyperlink ref="B11" location="Details!C241" display="Details!C241" xr:uid="{00000000-0004-0000-0000-000028000000}"/>
    <hyperlink ref="C11" location="Details!C241" display="Details!C241" xr:uid="{00000000-0004-0000-0000-000029000000}"/>
    <hyperlink ref="D11" location="Details!C248" display="Details!C248" xr:uid="{00000000-0004-0000-0000-00002A000000}"/>
    <hyperlink ref="E11" location="Details!C248" display="Details!C248" xr:uid="{00000000-0004-0000-0000-00002B000000}"/>
    <hyperlink ref="F11" location="Details!C259" display="Details!C259" xr:uid="{00000000-0004-0000-0000-00002C000000}"/>
    <hyperlink ref="G11" location="Details!C259" display="Details!C259" xr:uid="{00000000-0004-0000-0000-00002D000000}"/>
    <hyperlink ref="H11" location="Details!C267" display="Details!C267" xr:uid="{00000000-0004-0000-0000-00002E000000}"/>
    <hyperlink ref="I11" location="Details!C267" display="Details!C267" xr:uid="{00000000-0004-0000-0000-00002F000000}"/>
    <hyperlink ref="J11" location="Details!C277" display="Details!C277" xr:uid="{00000000-0004-0000-0000-000030000000}"/>
    <hyperlink ref="K11" location="Details!C277" display="Details!C277" xr:uid="{00000000-0004-0000-0000-000031000000}"/>
    <hyperlink ref="L11" location="Details!C285" display="Details!C285" xr:uid="{00000000-0004-0000-0000-000032000000}"/>
    <hyperlink ref="M11" location="Details!C285" display="Details!C285" xr:uid="{00000000-0004-0000-0000-000033000000}"/>
    <hyperlink ref="B12" location="Details!C294" display="Details!C294" xr:uid="{00000000-0004-0000-0000-000034000000}"/>
    <hyperlink ref="C12" location="Details!C294" display="Details!C294" xr:uid="{00000000-0004-0000-0000-000035000000}"/>
    <hyperlink ref="D12" location="Details!C304" display="Details!C304" xr:uid="{00000000-0004-0000-0000-000036000000}"/>
    <hyperlink ref="E12" location="Details!C304" display="Details!C304" xr:uid="{00000000-0004-0000-0000-000037000000}"/>
    <hyperlink ref="F12" location="Details!C311" display="Details!C311" xr:uid="{00000000-0004-0000-0000-000038000000}"/>
    <hyperlink ref="G12" location="Details!C311" display="Details!C311" xr:uid="{00000000-0004-0000-0000-000039000000}"/>
    <hyperlink ref="B14" location="Details!C318" display="Details!C318" xr:uid="{00000000-0004-0000-0000-00003A000000}"/>
    <hyperlink ref="C14" location="Details!C318" display="Details!C318" xr:uid="{00000000-0004-0000-0000-00003B000000}"/>
    <hyperlink ref="D14" location="Details!C353" display="Details!C353" xr:uid="{00000000-0004-0000-0000-00003C000000}"/>
    <hyperlink ref="E14" location="Details!C353" display="Details!C353" xr:uid="{00000000-0004-0000-0000-00003D000000}"/>
    <hyperlink ref="F14" location="Details!C390" display="Details!C390" xr:uid="{00000000-0004-0000-0000-00003E000000}"/>
    <hyperlink ref="G14" location="Details!C390" display="Details!C390" xr:uid="{00000000-0004-0000-0000-00003F000000}"/>
    <hyperlink ref="H14" location="Details!C427" display="Details!C427" xr:uid="{00000000-0004-0000-0000-000040000000}"/>
    <hyperlink ref="I14" location="Details!C427" display="Details!C427" xr:uid="{00000000-0004-0000-0000-000041000000}"/>
    <hyperlink ref="J14" location="Details!C477" display="Details!C477" xr:uid="{00000000-0004-0000-0000-000042000000}"/>
    <hyperlink ref="K14" location="Details!C477" display="Details!C477" xr:uid="{00000000-0004-0000-0000-000043000000}"/>
    <hyperlink ref="L14" location="Details!C521" display="Details!C521" xr:uid="{00000000-0004-0000-0000-000044000000}"/>
    <hyperlink ref="M14" location="Details!C521" display="Details!C521" xr:uid="{00000000-0004-0000-0000-000045000000}"/>
    <hyperlink ref="B15" location="Details!C571" display="Details!C571" xr:uid="{00000000-0004-0000-0000-000046000000}"/>
    <hyperlink ref="C15" location="Details!C571" display="Details!C571" xr:uid="{00000000-0004-0000-0000-000047000000}"/>
    <hyperlink ref="D15" location="Details!C580" display="Details!C580" xr:uid="{00000000-0004-0000-0000-000048000000}"/>
    <hyperlink ref="E15" location="Details!C580" display="Details!C580" xr:uid="{00000000-0004-0000-0000-000049000000}"/>
    <hyperlink ref="F15" location="Details!C587" display="Details!C587" xr:uid="{00000000-0004-0000-0000-00004A000000}"/>
    <hyperlink ref="G15" location="Details!C587" display="Details!C587" xr:uid="{00000000-0004-0000-0000-00004B000000}"/>
    <hyperlink ref="J15" location="Details!C601" display="Details!C601" xr:uid="{00000000-0004-0000-0000-00004C000000}"/>
    <hyperlink ref="K15" location="Details!C601" display="Details!C601" xr:uid="{00000000-0004-0000-0000-00004D000000}"/>
    <hyperlink ref="L15" location="Details!C609" display="Details!C609" xr:uid="{00000000-0004-0000-0000-00004E000000}"/>
    <hyperlink ref="M15" location="Details!C609" display="Details!C609" xr:uid="{00000000-0004-0000-0000-00004F000000}"/>
    <hyperlink ref="B17" location="Details!C616" display="Details!C616" xr:uid="{00000000-0004-0000-0000-000050000000}"/>
    <hyperlink ref="C17" location="Details!C616" display="Details!C616" xr:uid="{00000000-0004-0000-0000-000051000000}"/>
    <hyperlink ref="D17" location="Details!C691" display="Details!C691" xr:uid="{00000000-0004-0000-0000-000052000000}"/>
    <hyperlink ref="E17" location="Details!C691" display="Details!C691" xr:uid="{00000000-0004-0000-0000-000053000000}"/>
    <hyperlink ref="F17" location="Details!C722" display="Details!C722" xr:uid="{00000000-0004-0000-0000-000054000000}"/>
    <hyperlink ref="G17" location="Details!C722" display="Details!C722" xr:uid="{00000000-0004-0000-0000-000055000000}"/>
    <hyperlink ref="H17" location="Details!C761" display="Details!C761" xr:uid="{00000000-0004-0000-0000-000056000000}"/>
    <hyperlink ref="I17" location="Details!C761" display="Details!C761" xr:uid="{00000000-0004-0000-0000-000057000000}"/>
    <hyperlink ref="J17" location="Details!C792" display="Details!C792" xr:uid="{00000000-0004-0000-0000-000058000000}"/>
    <hyperlink ref="K17" location="Details!C792" display="Details!C792" xr:uid="{00000000-0004-0000-0000-000059000000}"/>
    <hyperlink ref="L17" location="Details!C820" display="Details!C820" xr:uid="{00000000-0004-0000-0000-00005A000000}"/>
    <hyperlink ref="M17" location="Details!C820" display="Details!C820" xr:uid="{00000000-0004-0000-0000-00005B000000}"/>
  </hyperlinks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2:G844"/>
  <sheetViews>
    <sheetView tabSelected="1" topLeftCell="A216" workbookViewId="0">
      <selection activeCell="G219" sqref="G219"/>
    </sheetView>
  </sheetViews>
  <sheetFormatPr baseColWidth="10" defaultColWidth="8.88671875" defaultRowHeight="14.4" x14ac:dyDescent="0.3"/>
  <cols>
    <col min="3" max="3" width="37.21875" customWidth="1"/>
    <col min="4" max="4" width="62" customWidth="1"/>
    <col min="7" max="7" width="13.109375" customWidth="1"/>
  </cols>
  <sheetData>
    <row r="2" spans="3:7" x14ac:dyDescent="0.3">
      <c r="C2" s="96" t="s">
        <v>116</v>
      </c>
      <c r="D2" s="97" t="s">
        <v>117</v>
      </c>
      <c r="E2" s="97" t="s">
        <v>14</v>
      </c>
      <c r="F2" s="97" t="s">
        <v>15</v>
      </c>
      <c r="G2" s="98" t="s">
        <v>118</v>
      </c>
    </row>
    <row r="3" spans="3:7" x14ac:dyDescent="0.3">
      <c r="C3" s="99" t="s">
        <v>119</v>
      </c>
      <c r="D3" s="100" t="s">
        <v>120</v>
      </c>
      <c r="E3" s="100">
        <v>0</v>
      </c>
      <c r="F3" s="100">
        <v>0.10481</v>
      </c>
      <c r="G3" s="101">
        <v>3.66</v>
      </c>
    </row>
    <row r="4" spans="3:7" x14ac:dyDescent="0.3">
      <c r="C4" s="99" t="s">
        <v>121</v>
      </c>
      <c r="D4" s="102" t="s">
        <v>122</v>
      </c>
      <c r="E4" s="102">
        <v>0.12</v>
      </c>
      <c r="F4" s="102">
        <v>25</v>
      </c>
      <c r="G4" s="103">
        <v>27.71</v>
      </c>
    </row>
    <row r="5" spans="3:7" x14ac:dyDescent="0.3">
      <c r="C5" s="99" t="s">
        <v>123</v>
      </c>
      <c r="D5" s="104" t="s">
        <v>124</v>
      </c>
      <c r="E5" s="104">
        <v>0.46</v>
      </c>
      <c r="F5" s="104">
        <v>20</v>
      </c>
      <c r="G5" s="105">
        <v>5.83</v>
      </c>
    </row>
    <row r="6" spans="3:7" x14ac:dyDescent="0.3">
      <c r="C6" s="106"/>
      <c r="D6" s="104" t="s">
        <v>125</v>
      </c>
      <c r="E6" s="104">
        <v>0.03</v>
      </c>
      <c r="F6" s="104">
        <v>4.274</v>
      </c>
      <c r="G6" s="105">
        <v>18.02</v>
      </c>
    </row>
    <row r="7" spans="3:7" x14ac:dyDescent="0.3">
      <c r="C7" s="106"/>
      <c r="D7" s="104" t="s">
        <v>124</v>
      </c>
      <c r="E7" s="104">
        <v>0.46</v>
      </c>
      <c r="F7" s="104">
        <v>20</v>
      </c>
      <c r="G7" s="105">
        <v>5.83</v>
      </c>
    </row>
    <row r="8" spans="3:7" x14ac:dyDescent="0.3">
      <c r="C8" s="106"/>
      <c r="D8" s="104" t="s">
        <v>126</v>
      </c>
      <c r="E8" s="104">
        <v>0.01</v>
      </c>
      <c r="F8" s="104">
        <v>0.47499999999999998</v>
      </c>
      <c r="G8" s="105">
        <v>6.28</v>
      </c>
    </row>
    <row r="9" spans="3:7" x14ac:dyDescent="0.3">
      <c r="C9" s="107"/>
      <c r="D9" s="108" t="s">
        <v>127</v>
      </c>
      <c r="E9" s="108">
        <v>0.17</v>
      </c>
      <c r="F9" s="108">
        <v>5.4081599999999996</v>
      </c>
      <c r="G9" s="109">
        <v>4.21</v>
      </c>
    </row>
    <row r="13" spans="3:7" x14ac:dyDescent="0.3">
      <c r="C13" s="96" t="s">
        <v>128</v>
      </c>
      <c r="D13" s="97" t="s">
        <v>117</v>
      </c>
      <c r="E13" s="97" t="s">
        <v>14</v>
      </c>
      <c r="F13" s="97" t="s">
        <v>15</v>
      </c>
      <c r="G13" s="98" t="s">
        <v>118</v>
      </c>
    </row>
    <row r="14" spans="3:7" x14ac:dyDescent="0.3">
      <c r="C14" s="99" t="s">
        <v>129</v>
      </c>
      <c r="D14" s="104" t="s">
        <v>130</v>
      </c>
      <c r="E14" s="104">
        <v>0.09</v>
      </c>
      <c r="F14" s="104">
        <v>9.5</v>
      </c>
      <c r="G14" s="105">
        <v>14.02</v>
      </c>
    </row>
    <row r="15" spans="3:7" x14ac:dyDescent="0.3">
      <c r="C15" s="99" t="s">
        <v>131</v>
      </c>
      <c r="D15" s="100" t="s">
        <v>132</v>
      </c>
      <c r="E15" s="100">
        <v>0.1</v>
      </c>
      <c r="F15" s="100">
        <v>2.5</v>
      </c>
      <c r="G15" s="101">
        <v>3.21</v>
      </c>
    </row>
    <row r="16" spans="3:7" x14ac:dyDescent="0.3">
      <c r="C16" s="99" t="s">
        <v>133</v>
      </c>
      <c r="D16" s="104" t="s">
        <v>134</v>
      </c>
      <c r="E16" s="104">
        <v>0.42</v>
      </c>
      <c r="F16" s="104">
        <v>24</v>
      </c>
      <c r="G16" s="105">
        <v>7.61</v>
      </c>
    </row>
    <row r="17" spans="3:7" x14ac:dyDescent="0.3">
      <c r="C17" s="106"/>
      <c r="D17" s="104" t="s">
        <v>135</v>
      </c>
      <c r="E17" s="104">
        <v>0.5</v>
      </c>
      <c r="F17" s="104">
        <v>18.55</v>
      </c>
      <c r="G17" s="105">
        <v>4.91</v>
      </c>
    </row>
    <row r="18" spans="3:7" x14ac:dyDescent="0.3">
      <c r="C18" s="107"/>
      <c r="D18" s="110" t="s">
        <v>136</v>
      </c>
      <c r="E18" s="110">
        <v>0.78</v>
      </c>
      <c r="F18" s="110">
        <v>71.873999999999995</v>
      </c>
      <c r="G18" s="111">
        <v>12.21</v>
      </c>
    </row>
    <row r="22" spans="3:7" x14ac:dyDescent="0.3">
      <c r="C22" s="96" t="s">
        <v>137</v>
      </c>
      <c r="D22" s="97" t="s">
        <v>117</v>
      </c>
      <c r="E22" s="97" t="s">
        <v>14</v>
      </c>
      <c r="F22" s="97" t="s">
        <v>15</v>
      </c>
      <c r="G22" s="98" t="s">
        <v>118</v>
      </c>
    </row>
    <row r="23" spans="3:7" x14ac:dyDescent="0.3">
      <c r="C23" s="99" t="s">
        <v>138</v>
      </c>
      <c r="D23" s="104" t="s">
        <v>139</v>
      </c>
      <c r="E23" s="104">
        <v>0.1</v>
      </c>
      <c r="F23" s="104">
        <v>20</v>
      </c>
      <c r="G23" s="105">
        <v>27.71</v>
      </c>
    </row>
    <row r="24" spans="3:7" x14ac:dyDescent="0.3">
      <c r="C24" s="99" t="s">
        <v>140</v>
      </c>
      <c r="D24" s="100" t="s">
        <v>141</v>
      </c>
      <c r="E24" s="100">
        <v>0.08</v>
      </c>
      <c r="F24" s="100">
        <v>4</v>
      </c>
      <c r="G24" s="101">
        <v>6.5</v>
      </c>
    </row>
    <row r="25" spans="3:7" x14ac:dyDescent="0.3">
      <c r="C25" s="99" t="s">
        <v>142</v>
      </c>
      <c r="D25" s="104" t="s">
        <v>143</v>
      </c>
      <c r="E25" s="104">
        <v>0.17</v>
      </c>
      <c r="F25" s="104">
        <v>10</v>
      </c>
      <c r="G25" s="105">
        <v>7.67</v>
      </c>
    </row>
    <row r="26" spans="3:7" x14ac:dyDescent="0.3">
      <c r="C26" s="106"/>
      <c r="D26" s="104" t="s">
        <v>144</v>
      </c>
      <c r="E26" s="104">
        <v>0.49</v>
      </c>
      <c r="F26" s="104">
        <v>24.711680000000001</v>
      </c>
      <c r="G26" s="105">
        <v>6.67</v>
      </c>
    </row>
    <row r="27" spans="3:7" x14ac:dyDescent="0.3">
      <c r="C27" s="106"/>
      <c r="D27" s="104" t="s">
        <v>135</v>
      </c>
      <c r="E27" s="104">
        <v>0.5</v>
      </c>
      <c r="F27" s="104">
        <v>18.55</v>
      </c>
      <c r="G27" s="105">
        <v>4.91</v>
      </c>
    </row>
    <row r="28" spans="3:7" x14ac:dyDescent="0.3">
      <c r="C28" s="107"/>
      <c r="D28" s="110" t="s">
        <v>136</v>
      </c>
      <c r="E28" s="110">
        <v>0.78</v>
      </c>
      <c r="F28" s="110">
        <v>71.873999999999995</v>
      </c>
      <c r="G28" s="111">
        <v>12.21</v>
      </c>
    </row>
    <row r="32" spans="3:7" x14ac:dyDescent="0.3">
      <c r="C32" s="96" t="s">
        <v>145</v>
      </c>
      <c r="D32" s="97" t="s">
        <v>117</v>
      </c>
      <c r="E32" s="97" t="s">
        <v>14</v>
      </c>
      <c r="F32" s="97" t="s">
        <v>15</v>
      </c>
      <c r="G32" s="98" t="s">
        <v>118</v>
      </c>
    </row>
    <row r="33" spans="3:7" x14ac:dyDescent="0.3">
      <c r="C33" s="99" t="s">
        <v>146</v>
      </c>
      <c r="D33" s="100" t="s">
        <v>147</v>
      </c>
      <c r="E33" s="100">
        <v>0.03</v>
      </c>
      <c r="F33" s="100">
        <v>2.0910000000000002</v>
      </c>
      <c r="G33" s="101">
        <v>8.82</v>
      </c>
    </row>
    <row r="34" spans="3:7" x14ac:dyDescent="0.3">
      <c r="C34" s="99" t="s">
        <v>148</v>
      </c>
      <c r="D34" s="104" t="s">
        <v>149</v>
      </c>
      <c r="E34" s="104">
        <v>0.05</v>
      </c>
      <c r="F34" s="104">
        <v>2.4449999999999998</v>
      </c>
      <c r="G34" s="105">
        <v>6.48</v>
      </c>
    </row>
    <row r="35" spans="3:7" x14ac:dyDescent="0.3">
      <c r="C35" s="99" t="s">
        <v>150</v>
      </c>
      <c r="D35" s="104" t="s">
        <v>151</v>
      </c>
      <c r="E35" s="104">
        <v>0.04</v>
      </c>
      <c r="F35" s="104">
        <v>2.5</v>
      </c>
      <c r="G35" s="105">
        <v>7.51</v>
      </c>
    </row>
    <row r="36" spans="3:7" x14ac:dyDescent="0.3">
      <c r="C36" s="106"/>
      <c r="D36" s="104" t="s">
        <v>151</v>
      </c>
      <c r="E36" s="104">
        <v>0.04</v>
      </c>
      <c r="F36" s="104">
        <v>2.5</v>
      </c>
      <c r="G36" s="105">
        <v>7.51</v>
      </c>
    </row>
    <row r="37" spans="3:7" x14ac:dyDescent="0.3">
      <c r="C37" s="106"/>
      <c r="D37" s="104" t="s">
        <v>152</v>
      </c>
      <c r="E37" s="104">
        <v>0.01</v>
      </c>
      <c r="F37" s="104">
        <v>2.4039999999999999</v>
      </c>
      <c r="G37" s="105">
        <v>21.52</v>
      </c>
    </row>
    <row r="38" spans="3:7" x14ac:dyDescent="0.3">
      <c r="C38" s="106"/>
      <c r="D38" s="104" t="s">
        <v>152</v>
      </c>
      <c r="E38" s="104">
        <v>0.02</v>
      </c>
      <c r="F38" s="104">
        <v>2.5</v>
      </c>
      <c r="G38" s="105">
        <v>21.52</v>
      </c>
    </row>
    <row r="39" spans="3:7" x14ac:dyDescent="0.3">
      <c r="C39" s="106"/>
      <c r="D39" s="104" t="s">
        <v>152</v>
      </c>
      <c r="E39" s="104">
        <v>0.02</v>
      </c>
      <c r="F39" s="104">
        <v>2.5</v>
      </c>
      <c r="G39" s="105">
        <v>21.52</v>
      </c>
    </row>
    <row r="40" spans="3:7" x14ac:dyDescent="0.3">
      <c r="C40" s="106"/>
      <c r="D40" s="104" t="s">
        <v>153</v>
      </c>
      <c r="E40" s="104">
        <v>0.01</v>
      </c>
      <c r="F40" s="104">
        <v>2.5</v>
      </c>
      <c r="G40" s="105">
        <v>25.51</v>
      </c>
    </row>
    <row r="41" spans="3:7" x14ac:dyDescent="0.3">
      <c r="C41" s="106"/>
      <c r="D41" s="104" t="s">
        <v>153</v>
      </c>
      <c r="E41" s="104">
        <v>0.01</v>
      </c>
      <c r="F41" s="104">
        <v>2.4489999999999998</v>
      </c>
      <c r="G41" s="105">
        <v>25.51</v>
      </c>
    </row>
    <row r="42" spans="3:7" x14ac:dyDescent="0.3">
      <c r="C42" s="106"/>
      <c r="D42" s="104" t="s">
        <v>153</v>
      </c>
      <c r="E42" s="104">
        <v>0.01</v>
      </c>
      <c r="F42" s="104">
        <v>2.5</v>
      </c>
      <c r="G42" s="105">
        <v>25.51</v>
      </c>
    </row>
    <row r="43" spans="3:7" x14ac:dyDescent="0.3">
      <c r="C43" s="106"/>
      <c r="D43" s="104" t="s">
        <v>153</v>
      </c>
      <c r="E43" s="104">
        <v>0.01</v>
      </c>
      <c r="F43" s="104">
        <v>2.5</v>
      </c>
      <c r="G43" s="105">
        <v>25.51</v>
      </c>
    </row>
    <row r="44" spans="3:7" x14ac:dyDescent="0.3">
      <c r="C44" s="106"/>
      <c r="D44" s="104" t="s">
        <v>153</v>
      </c>
      <c r="E44" s="104">
        <v>0.01</v>
      </c>
      <c r="F44" s="104">
        <v>2.5</v>
      </c>
      <c r="G44" s="105">
        <v>25.51</v>
      </c>
    </row>
    <row r="45" spans="3:7" x14ac:dyDescent="0.3">
      <c r="C45" s="106"/>
      <c r="D45" s="104" t="s">
        <v>149</v>
      </c>
      <c r="E45" s="104">
        <v>0.05</v>
      </c>
      <c r="F45" s="104">
        <v>2.5</v>
      </c>
      <c r="G45" s="105">
        <v>6.48</v>
      </c>
    </row>
    <row r="46" spans="3:7" x14ac:dyDescent="0.3">
      <c r="C46" s="106"/>
      <c r="D46" s="104" t="s">
        <v>152</v>
      </c>
      <c r="E46" s="104">
        <v>0.01</v>
      </c>
      <c r="F46" s="104">
        <v>2.4039999999999999</v>
      </c>
      <c r="G46" s="105">
        <v>21.52</v>
      </c>
    </row>
    <row r="47" spans="3:7" x14ac:dyDescent="0.3">
      <c r="C47" s="106"/>
      <c r="D47" s="104" t="s">
        <v>152</v>
      </c>
      <c r="E47" s="104">
        <v>0.02</v>
      </c>
      <c r="F47" s="104">
        <v>2.5</v>
      </c>
      <c r="G47" s="105">
        <v>21.52</v>
      </c>
    </row>
    <row r="48" spans="3:7" x14ac:dyDescent="0.3">
      <c r="C48" s="106"/>
      <c r="D48" s="104" t="s">
        <v>132</v>
      </c>
      <c r="E48" s="104">
        <v>0.1</v>
      </c>
      <c r="F48" s="104">
        <v>2.5</v>
      </c>
      <c r="G48" s="105">
        <v>3.21</v>
      </c>
    </row>
    <row r="49" spans="3:7" x14ac:dyDescent="0.3">
      <c r="C49" s="106"/>
      <c r="D49" s="104" t="s">
        <v>134</v>
      </c>
      <c r="E49" s="104">
        <v>0.42</v>
      </c>
      <c r="F49" s="104">
        <v>24</v>
      </c>
      <c r="G49" s="105">
        <v>7.61</v>
      </c>
    </row>
    <row r="50" spans="3:7" x14ac:dyDescent="0.3">
      <c r="C50" s="106"/>
      <c r="D50" s="104" t="s">
        <v>141</v>
      </c>
      <c r="E50" s="104">
        <v>0.21</v>
      </c>
      <c r="F50" s="104">
        <v>10</v>
      </c>
      <c r="G50" s="105">
        <v>6.5</v>
      </c>
    </row>
    <row r="51" spans="3:7" x14ac:dyDescent="0.3">
      <c r="C51" s="106"/>
      <c r="D51" s="104" t="s">
        <v>154</v>
      </c>
      <c r="E51" s="104">
        <v>0.23</v>
      </c>
      <c r="F51" s="104">
        <v>8</v>
      </c>
      <c r="G51" s="105">
        <v>4.7</v>
      </c>
    </row>
    <row r="52" spans="3:7" x14ac:dyDescent="0.3">
      <c r="C52" s="106"/>
      <c r="D52" s="104" t="s">
        <v>155</v>
      </c>
      <c r="E52" s="104">
        <v>0.28999999999999998</v>
      </c>
      <c r="F52" s="104">
        <v>12.1</v>
      </c>
      <c r="G52" s="105">
        <v>5.58</v>
      </c>
    </row>
    <row r="53" spans="3:7" x14ac:dyDescent="0.3">
      <c r="C53" s="106"/>
      <c r="D53" s="104" t="s">
        <v>156</v>
      </c>
      <c r="E53" s="104">
        <v>0.84</v>
      </c>
      <c r="F53" s="104">
        <v>8.0839999999999996</v>
      </c>
      <c r="G53" s="105">
        <v>1.29</v>
      </c>
    </row>
    <row r="54" spans="3:7" x14ac:dyDescent="0.3">
      <c r="C54" s="106"/>
      <c r="D54" s="104" t="s">
        <v>157</v>
      </c>
      <c r="E54" s="104">
        <v>0.11</v>
      </c>
      <c r="F54" s="104">
        <v>4.7</v>
      </c>
      <c r="G54" s="105">
        <v>5.95</v>
      </c>
    </row>
    <row r="55" spans="3:7" x14ac:dyDescent="0.3">
      <c r="C55" s="106"/>
      <c r="D55" s="104" t="s">
        <v>158</v>
      </c>
      <c r="E55" s="104">
        <v>0.18</v>
      </c>
      <c r="F55" s="104">
        <v>8.4</v>
      </c>
      <c r="G55" s="105">
        <v>6.24</v>
      </c>
    </row>
    <row r="56" spans="3:7" x14ac:dyDescent="0.3">
      <c r="C56" s="106"/>
      <c r="D56" s="104" t="s">
        <v>159</v>
      </c>
      <c r="E56" s="104">
        <v>1.2</v>
      </c>
      <c r="F56" s="104">
        <v>72</v>
      </c>
      <c r="G56" s="105">
        <v>7.99</v>
      </c>
    </row>
    <row r="57" spans="3:7" x14ac:dyDescent="0.3">
      <c r="C57" s="107"/>
      <c r="D57" s="110" t="s">
        <v>136</v>
      </c>
      <c r="E57" s="110">
        <v>1.05</v>
      </c>
      <c r="F57" s="110">
        <v>95.831999999999994</v>
      </c>
      <c r="G57" s="111">
        <v>12.21</v>
      </c>
    </row>
    <row r="61" spans="3:7" x14ac:dyDescent="0.3">
      <c r="C61" s="96" t="s">
        <v>160</v>
      </c>
      <c r="D61" s="97" t="s">
        <v>117</v>
      </c>
      <c r="E61" s="97" t="s">
        <v>14</v>
      </c>
      <c r="F61" s="97" t="s">
        <v>15</v>
      </c>
      <c r="G61" s="98" t="s">
        <v>118</v>
      </c>
    </row>
    <row r="62" spans="3:7" x14ac:dyDescent="0.3">
      <c r="C62" s="99" t="s">
        <v>161</v>
      </c>
      <c r="D62" s="104" t="s">
        <v>132</v>
      </c>
      <c r="E62" s="104">
        <v>0.1</v>
      </c>
      <c r="F62" s="104">
        <v>2.5</v>
      </c>
      <c r="G62" s="105">
        <v>3.21</v>
      </c>
    </row>
    <row r="63" spans="3:7" x14ac:dyDescent="0.3">
      <c r="C63" s="99" t="s">
        <v>162</v>
      </c>
      <c r="D63" s="104" t="s">
        <v>163</v>
      </c>
      <c r="E63" s="104">
        <v>0.52</v>
      </c>
      <c r="F63" s="104">
        <v>24</v>
      </c>
      <c r="G63" s="105">
        <v>6.14</v>
      </c>
    </row>
    <row r="64" spans="3:7" x14ac:dyDescent="0.3">
      <c r="C64" s="99" t="s">
        <v>164</v>
      </c>
      <c r="D64" s="104" t="s">
        <v>126</v>
      </c>
      <c r="E64" s="104">
        <v>0.23</v>
      </c>
      <c r="F64" s="104">
        <v>11</v>
      </c>
      <c r="G64" s="105">
        <v>6.28</v>
      </c>
    </row>
    <row r="65" spans="3:7" x14ac:dyDescent="0.3">
      <c r="C65" s="106"/>
      <c r="D65" s="104" t="s">
        <v>165</v>
      </c>
      <c r="E65" s="104">
        <v>2.2999999999999998</v>
      </c>
      <c r="F65" s="104">
        <v>1.38</v>
      </c>
      <c r="G65" s="105">
        <v>0.08</v>
      </c>
    </row>
    <row r="66" spans="3:7" x14ac:dyDescent="0.3">
      <c r="C66" s="106"/>
      <c r="D66" s="104" t="s">
        <v>158</v>
      </c>
      <c r="E66" s="104">
        <v>0.28000000000000003</v>
      </c>
      <c r="F66" s="104">
        <v>13.2</v>
      </c>
      <c r="G66" s="105">
        <v>6.24</v>
      </c>
    </row>
    <row r="67" spans="3:7" x14ac:dyDescent="0.3">
      <c r="C67" s="106"/>
      <c r="D67" s="102" t="s">
        <v>159</v>
      </c>
      <c r="E67" s="102">
        <v>1.2</v>
      </c>
      <c r="F67" s="102">
        <v>72</v>
      </c>
      <c r="G67" s="103">
        <v>7.99</v>
      </c>
    </row>
    <row r="68" spans="3:7" x14ac:dyDescent="0.3">
      <c r="C68" s="106"/>
      <c r="D68" s="104" t="s">
        <v>136</v>
      </c>
      <c r="E68" s="104">
        <v>0.26</v>
      </c>
      <c r="F68" s="104">
        <v>23.957999999999998</v>
      </c>
      <c r="G68" s="105">
        <v>12.21</v>
      </c>
    </row>
    <row r="69" spans="3:7" x14ac:dyDescent="0.3">
      <c r="C69" s="106"/>
      <c r="D69" s="104" t="s">
        <v>166</v>
      </c>
      <c r="E69" s="104">
        <v>0.16</v>
      </c>
      <c r="F69" s="104">
        <v>6.8768000000000002</v>
      </c>
      <c r="G69" s="105">
        <v>5.74</v>
      </c>
    </row>
    <row r="70" spans="3:7" x14ac:dyDescent="0.3">
      <c r="C70" s="106"/>
      <c r="D70" s="104" t="s">
        <v>127</v>
      </c>
      <c r="E70" s="104">
        <v>0.17</v>
      </c>
      <c r="F70" s="104">
        <v>5.4081599999999996</v>
      </c>
      <c r="G70" s="105">
        <v>4.21</v>
      </c>
    </row>
    <row r="71" spans="3:7" x14ac:dyDescent="0.3">
      <c r="C71" s="106"/>
      <c r="D71" s="100" t="s">
        <v>167</v>
      </c>
      <c r="E71" s="100">
        <v>0.05</v>
      </c>
      <c r="F71" s="100">
        <v>0.66218999999999995</v>
      </c>
      <c r="G71" s="101">
        <v>1.8</v>
      </c>
    </row>
    <row r="72" spans="3:7" x14ac:dyDescent="0.3">
      <c r="C72" s="106"/>
      <c r="D72" s="104" t="s">
        <v>168</v>
      </c>
      <c r="E72" s="104">
        <v>0.25</v>
      </c>
      <c r="F72" s="104">
        <v>20</v>
      </c>
      <c r="G72" s="105">
        <v>10.62</v>
      </c>
    </row>
    <row r="73" spans="3:7" x14ac:dyDescent="0.3">
      <c r="C73" s="107"/>
      <c r="D73" s="108" t="s">
        <v>169</v>
      </c>
      <c r="E73" s="108">
        <v>0.5</v>
      </c>
      <c r="F73" s="108">
        <v>18.188749999999999</v>
      </c>
      <c r="G73" s="109">
        <v>4.8099999999999996</v>
      </c>
    </row>
    <row r="77" spans="3:7" x14ac:dyDescent="0.3">
      <c r="C77" s="96" t="s">
        <v>170</v>
      </c>
      <c r="D77" s="97" t="s">
        <v>117</v>
      </c>
      <c r="E77" s="97" t="s">
        <v>14</v>
      </c>
      <c r="F77" s="97" t="s">
        <v>15</v>
      </c>
      <c r="G77" s="98" t="s">
        <v>118</v>
      </c>
    </row>
    <row r="78" spans="3:7" x14ac:dyDescent="0.3">
      <c r="C78" s="99" t="s">
        <v>171</v>
      </c>
      <c r="D78" s="104" t="s">
        <v>172</v>
      </c>
      <c r="E78" s="104">
        <v>0.28999999999999998</v>
      </c>
      <c r="F78" s="104">
        <v>10</v>
      </c>
      <c r="G78" s="105">
        <v>4.54</v>
      </c>
    </row>
    <row r="79" spans="3:7" x14ac:dyDescent="0.3">
      <c r="C79" s="99" t="s">
        <v>173</v>
      </c>
      <c r="D79" s="104" t="s">
        <v>174</v>
      </c>
      <c r="E79" s="104">
        <v>0.06</v>
      </c>
      <c r="F79" s="104">
        <v>10</v>
      </c>
      <c r="G79" s="105">
        <v>21.25</v>
      </c>
    </row>
    <row r="80" spans="3:7" x14ac:dyDescent="0.3">
      <c r="C80" s="99" t="s">
        <v>175</v>
      </c>
      <c r="D80" s="104" t="s">
        <v>134</v>
      </c>
      <c r="E80" s="104">
        <v>0.42</v>
      </c>
      <c r="F80" s="104">
        <v>24</v>
      </c>
      <c r="G80" s="105">
        <v>7.61</v>
      </c>
    </row>
    <row r="81" spans="3:7" x14ac:dyDescent="0.3">
      <c r="C81" s="106"/>
      <c r="D81" s="104" t="s">
        <v>176</v>
      </c>
      <c r="E81" s="104">
        <v>0.18</v>
      </c>
      <c r="F81" s="104">
        <v>9</v>
      </c>
      <c r="G81" s="105">
        <v>6.78</v>
      </c>
    </row>
    <row r="82" spans="3:7" x14ac:dyDescent="0.3">
      <c r="C82" s="106"/>
      <c r="D82" s="100" t="s">
        <v>177</v>
      </c>
      <c r="E82" s="100">
        <v>0.22</v>
      </c>
      <c r="F82" s="100">
        <v>8.84</v>
      </c>
      <c r="G82" s="101">
        <v>5.48</v>
      </c>
    </row>
    <row r="83" spans="3:7" x14ac:dyDescent="0.3">
      <c r="C83" s="106"/>
      <c r="D83" s="104" t="s">
        <v>144</v>
      </c>
      <c r="E83" s="104">
        <v>0.49</v>
      </c>
      <c r="F83" s="104">
        <v>24.711680000000001</v>
      </c>
      <c r="G83" s="105">
        <v>6.67</v>
      </c>
    </row>
    <row r="84" spans="3:7" x14ac:dyDescent="0.3">
      <c r="C84" s="106"/>
      <c r="D84" s="104" t="s">
        <v>135</v>
      </c>
      <c r="E84" s="104">
        <v>0.5</v>
      </c>
      <c r="F84" s="104">
        <v>18.55</v>
      </c>
      <c r="G84" s="105">
        <v>4.91</v>
      </c>
    </row>
    <row r="85" spans="3:7" x14ac:dyDescent="0.3">
      <c r="C85" s="107"/>
      <c r="D85" s="110" t="s">
        <v>136</v>
      </c>
      <c r="E85" s="110">
        <v>1.05</v>
      </c>
      <c r="F85" s="110">
        <v>95.831999999999994</v>
      </c>
      <c r="G85" s="111">
        <v>12.21</v>
      </c>
    </row>
    <row r="89" spans="3:7" x14ac:dyDescent="0.3">
      <c r="C89" s="96" t="s">
        <v>178</v>
      </c>
      <c r="D89" s="97" t="s">
        <v>117</v>
      </c>
      <c r="E89" s="97" t="s">
        <v>14</v>
      </c>
      <c r="F89" s="97" t="s">
        <v>15</v>
      </c>
      <c r="G89" s="98" t="s">
        <v>118</v>
      </c>
    </row>
    <row r="90" spans="3:7" x14ac:dyDescent="0.3">
      <c r="C90" s="99" t="s">
        <v>179</v>
      </c>
      <c r="D90" s="102" t="s">
        <v>180</v>
      </c>
      <c r="E90" s="102">
        <v>1.65</v>
      </c>
      <c r="F90" s="102">
        <v>5.0694999999999997</v>
      </c>
      <c r="G90" s="103">
        <v>0.41</v>
      </c>
    </row>
    <row r="91" spans="3:7" x14ac:dyDescent="0.3">
      <c r="C91" s="99" t="s">
        <v>181</v>
      </c>
      <c r="D91" s="104" t="s">
        <v>182</v>
      </c>
      <c r="E91" s="104">
        <v>0.11</v>
      </c>
      <c r="F91" s="104">
        <v>0.73187999999999998</v>
      </c>
      <c r="G91" s="105">
        <v>0.89</v>
      </c>
    </row>
    <row r="92" spans="3:7" x14ac:dyDescent="0.3">
      <c r="C92" s="99" t="s">
        <v>183</v>
      </c>
      <c r="D92" s="104" t="s">
        <v>184</v>
      </c>
      <c r="E92" s="104">
        <v>0.02</v>
      </c>
      <c r="F92" s="104">
        <v>0.74111000000000005</v>
      </c>
      <c r="G92" s="105">
        <v>4.87</v>
      </c>
    </row>
    <row r="93" spans="3:7" x14ac:dyDescent="0.3">
      <c r="C93" s="106"/>
      <c r="D93" s="104" t="s">
        <v>185</v>
      </c>
      <c r="E93" s="104">
        <v>0.04</v>
      </c>
      <c r="F93" s="104">
        <v>1.0488200000000001</v>
      </c>
      <c r="G93" s="105">
        <v>3.26</v>
      </c>
    </row>
    <row r="94" spans="3:7" x14ac:dyDescent="0.3">
      <c r="C94" s="106"/>
      <c r="D94" s="100" t="s">
        <v>186</v>
      </c>
      <c r="E94" s="100">
        <v>0</v>
      </c>
      <c r="F94" s="100">
        <v>3.4090000000000002E-2</v>
      </c>
      <c r="G94" s="101">
        <v>4.87</v>
      </c>
    </row>
    <row r="95" spans="3:7" x14ac:dyDescent="0.3">
      <c r="C95" s="106"/>
      <c r="D95" s="104" t="s">
        <v>187</v>
      </c>
      <c r="E95" s="104">
        <v>0</v>
      </c>
      <c r="F95" s="104">
        <v>6.8169999999999994E-2</v>
      </c>
      <c r="G95" s="105">
        <v>4.87</v>
      </c>
    </row>
    <row r="96" spans="3:7" x14ac:dyDescent="0.3">
      <c r="C96" s="106"/>
      <c r="D96" s="104" t="s">
        <v>188</v>
      </c>
      <c r="E96" s="104">
        <v>0.01</v>
      </c>
      <c r="F96" s="104">
        <v>0.26650000000000001</v>
      </c>
      <c r="G96" s="105">
        <v>4.87</v>
      </c>
    </row>
    <row r="97" spans="3:7" x14ac:dyDescent="0.3">
      <c r="C97" s="106"/>
      <c r="D97" s="104" t="s">
        <v>189</v>
      </c>
      <c r="E97" s="104">
        <v>0.01</v>
      </c>
      <c r="F97" s="104">
        <v>0.2651</v>
      </c>
      <c r="G97" s="105">
        <v>4.87</v>
      </c>
    </row>
    <row r="98" spans="3:7" x14ac:dyDescent="0.3">
      <c r="C98" s="106"/>
      <c r="D98" s="104" t="s">
        <v>190</v>
      </c>
      <c r="E98" s="104">
        <v>0.01</v>
      </c>
      <c r="F98" s="104">
        <v>0.15967999999999999</v>
      </c>
      <c r="G98" s="105">
        <v>4.25</v>
      </c>
    </row>
    <row r="99" spans="3:7" x14ac:dyDescent="0.3">
      <c r="C99" s="106"/>
      <c r="D99" s="104" t="s">
        <v>191</v>
      </c>
      <c r="E99" s="104">
        <v>0.01</v>
      </c>
      <c r="F99" s="104">
        <v>0.3992</v>
      </c>
      <c r="G99" s="105">
        <v>4.25</v>
      </c>
    </row>
    <row r="100" spans="3:7" x14ac:dyDescent="0.3">
      <c r="C100" s="106"/>
      <c r="D100" s="104" t="s">
        <v>192</v>
      </c>
      <c r="E100" s="104">
        <v>0.01</v>
      </c>
      <c r="F100" s="104">
        <v>0.15967999999999999</v>
      </c>
      <c r="G100" s="105">
        <v>4.25</v>
      </c>
    </row>
    <row r="101" spans="3:7" x14ac:dyDescent="0.3">
      <c r="C101" s="106"/>
      <c r="D101" s="104" t="s">
        <v>193</v>
      </c>
      <c r="E101" s="104">
        <v>0.01</v>
      </c>
      <c r="F101" s="104">
        <v>0.3992</v>
      </c>
      <c r="G101" s="105">
        <v>4.25</v>
      </c>
    </row>
    <row r="102" spans="3:7" x14ac:dyDescent="0.3">
      <c r="C102" s="106"/>
      <c r="D102" s="104" t="s">
        <v>194</v>
      </c>
      <c r="E102" s="104">
        <v>0.01</v>
      </c>
      <c r="F102" s="104">
        <v>0.15967999999999999</v>
      </c>
      <c r="G102" s="105">
        <v>4.25</v>
      </c>
    </row>
    <row r="103" spans="3:7" x14ac:dyDescent="0.3">
      <c r="C103" s="106"/>
      <c r="D103" s="104" t="s">
        <v>195</v>
      </c>
      <c r="E103" s="104">
        <v>0.01</v>
      </c>
      <c r="F103" s="104">
        <v>0.3992</v>
      </c>
      <c r="G103" s="105">
        <v>4.25</v>
      </c>
    </row>
    <row r="104" spans="3:7" x14ac:dyDescent="0.3">
      <c r="C104" s="106"/>
      <c r="D104" s="104" t="s">
        <v>196</v>
      </c>
      <c r="E104" s="104">
        <v>0</v>
      </c>
      <c r="F104" s="104">
        <v>0.15936</v>
      </c>
      <c r="G104" s="105">
        <v>4.25</v>
      </c>
    </row>
    <row r="105" spans="3:7" x14ac:dyDescent="0.3">
      <c r="C105" s="106"/>
      <c r="D105" s="104" t="s">
        <v>197</v>
      </c>
      <c r="E105" s="104">
        <v>0.01</v>
      </c>
      <c r="F105" s="104">
        <v>0.39839999999999998</v>
      </c>
      <c r="G105" s="105">
        <v>4.25</v>
      </c>
    </row>
    <row r="106" spans="3:7" x14ac:dyDescent="0.3">
      <c r="C106" s="106"/>
      <c r="D106" s="104" t="s">
        <v>198</v>
      </c>
      <c r="E106" s="104">
        <v>0</v>
      </c>
      <c r="F106" s="104">
        <v>0.15936</v>
      </c>
      <c r="G106" s="105">
        <v>4.25</v>
      </c>
    </row>
    <row r="107" spans="3:7" x14ac:dyDescent="0.3">
      <c r="C107" s="106"/>
      <c r="D107" s="104" t="s">
        <v>199</v>
      </c>
      <c r="E107" s="104">
        <v>0.01</v>
      </c>
      <c r="F107" s="104">
        <v>0.39839999999999998</v>
      </c>
      <c r="G107" s="105">
        <v>4.25</v>
      </c>
    </row>
    <row r="108" spans="3:7" x14ac:dyDescent="0.3">
      <c r="C108" s="106"/>
      <c r="D108" s="104" t="s">
        <v>200</v>
      </c>
      <c r="E108" s="104">
        <v>0</v>
      </c>
      <c r="F108" s="104">
        <v>0.15936</v>
      </c>
      <c r="G108" s="105">
        <v>4.25</v>
      </c>
    </row>
    <row r="109" spans="3:7" x14ac:dyDescent="0.3">
      <c r="C109" s="107"/>
      <c r="D109" s="108" t="s">
        <v>201</v>
      </c>
      <c r="E109" s="108">
        <v>0.01</v>
      </c>
      <c r="F109" s="108">
        <v>0.39839999999999998</v>
      </c>
      <c r="G109" s="109">
        <v>4.25</v>
      </c>
    </row>
    <row r="113" spans="3:7" x14ac:dyDescent="0.3">
      <c r="C113" s="96" t="s">
        <v>202</v>
      </c>
      <c r="D113" s="97" t="s">
        <v>117</v>
      </c>
      <c r="E113" s="97" t="s">
        <v>14</v>
      </c>
      <c r="F113" s="97" t="s">
        <v>15</v>
      </c>
      <c r="G113" s="98" t="s">
        <v>118</v>
      </c>
    </row>
    <row r="114" spans="3:7" x14ac:dyDescent="0.3">
      <c r="C114" s="99" t="s">
        <v>203</v>
      </c>
      <c r="D114" s="102" t="s">
        <v>204</v>
      </c>
      <c r="E114" s="102">
        <v>0.25</v>
      </c>
      <c r="F114" s="102">
        <v>9.0790000000000006</v>
      </c>
      <c r="G114" s="103">
        <v>4.87</v>
      </c>
    </row>
    <row r="115" spans="3:7" x14ac:dyDescent="0.3">
      <c r="C115" s="99" t="s">
        <v>205</v>
      </c>
      <c r="D115" s="104" t="s">
        <v>206</v>
      </c>
      <c r="E115" s="104">
        <v>7.0000000000000007E-2</v>
      </c>
      <c r="F115" s="104">
        <v>2.6728499999999999</v>
      </c>
      <c r="G115" s="105">
        <v>4.87</v>
      </c>
    </row>
    <row r="116" spans="3:7" x14ac:dyDescent="0.3">
      <c r="C116" s="99" t="s">
        <v>207</v>
      </c>
      <c r="D116" s="104" t="s">
        <v>208</v>
      </c>
      <c r="E116" s="104">
        <v>0.04</v>
      </c>
      <c r="F116" s="104">
        <v>1.3282</v>
      </c>
      <c r="G116" s="105">
        <v>4.87</v>
      </c>
    </row>
    <row r="117" spans="3:7" x14ac:dyDescent="0.3">
      <c r="C117" s="106"/>
      <c r="D117" s="104" t="s">
        <v>209</v>
      </c>
      <c r="E117" s="104">
        <v>0.05</v>
      </c>
      <c r="F117" s="104">
        <v>1.7819</v>
      </c>
      <c r="G117" s="105">
        <v>4.87</v>
      </c>
    </row>
    <row r="118" spans="3:7" x14ac:dyDescent="0.3">
      <c r="C118" s="106"/>
      <c r="D118" s="104" t="s">
        <v>210</v>
      </c>
      <c r="E118" s="104">
        <v>0.02</v>
      </c>
      <c r="F118" s="104">
        <v>0.84889999999999999</v>
      </c>
      <c r="G118" s="105">
        <v>4.92</v>
      </c>
    </row>
    <row r="119" spans="3:7" x14ac:dyDescent="0.3">
      <c r="C119" s="106"/>
      <c r="D119" s="104" t="s">
        <v>211</v>
      </c>
      <c r="E119" s="104">
        <v>7.0000000000000007E-2</v>
      </c>
      <c r="F119" s="104">
        <v>2.5110000000000001</v>
      </c>
      <c r="G119" s="105">
        <v>4.87</v>
      </c>
    </row>
    <row r="120" spans="3:7" x14ac:dyDescent="0.3">
      <c r="C120" s="106"/>
      <c r="D120" s="104" t="s">
        <v>212</v>
      </c>
      <c r="E120" s="104">
        <v>0.12</v>
      </c>
      <c r="F120" s="104">
        <v>3.6960000000000002</v>
      </c>
      <c r="G120" s="105">
        <v>4.25</v>
      </c>
    </row>
    <row r="121" spans="3:7" x14ac:dyDescent="0.3">
      <c r="C121" s="106"/>
      <c r="D121" s="104" t="s">
        <v>213</v>
      </c>
      <c r="E121" s="104">
        <v>0.12</v>
      </c>
      <c r="F121" s="104">
        <v>4.4574999999999996</v>
      </c>
      <c r="G121" s="105">
        <v>4.87</v>
      </c>
    </row>
    <row r="122" spans="3:7" x14ac:dyDescent="0.3">
      <c r="C122" s="106"/>
      <c r="D122" s="104" t="s">
        <v>214</v>
      </c>
      <c r="E122" s="104">
        <v>0.09</v>
      </c>
      <c r="F122" s="104">
        <v>3.3593000000000002</v>
      </c>
      <c r="G122" s="105">
        <v>4.87</v>
      </c>
    </row>
    <row r="123" spans="3:7" x14ac:dyDescent="0.3">
      <c r="C123" s="106"/>
      <c r="D123" s="104" t="s">
        <v>215</v>
      </c>
      <c r="E123" s="104">
        <v>0.05</v>
      </c>
      <c r="F123" s="104">
        <v>1.9838</v>
      </c>
      <c r="G123" s="105">
        <v>4.87</v>
      </c>
    </row>
    <row r="124" spans="3:7" x14ac:dyDescent="0.3">
      <c r="C124" s="107"/>
      <c r="D124" s="112" t="s">
        <v>216</v>
      </c>
      <c r="E124" s="112">
        <v>0.02</v>
      </c>
      <c r="F124" s="112">
        <v>0.59440000000000004</v>
      </c>
      <c r="G124" s="113">
        <v>4.87</v>
      </c>
    </row>
    <row r="128" spans="3:7" x14ac:dyDescent="0.3">
      <c r="C128" s="96" t="s">
        <v>217</v>
      </c>
      <c r="D128" s="97" t="s">
        <v>117</v>
      </c>
      <c r="E128" s="97" t="s">
        <v>14</v>
      </c>
      <c r="F128" s="97" t="s">
        <v>15</v>
      </c>
      <c r="G128" s="98" t="s">
        <v>118</v>
      </c>
    </row>
    <row r="129" spans="3:7" x14ac:dyDescent="0.3">
      <c r="C129" s="99" t="s">
        <v>218</v>
      </c>
      <c r="D129" s="104" t="s">
        <v>219</v>
      </c>
      <c r="E129" s="104">
        <v>0.12</v>
      </c>
      <c r="F129" s="104">
        <v>4.5</v>
      </c>
      <c r="G129" s="105">
        <v>4.92</v>
      </c>
    </row>
    <row r="130" spans="3:7" x14ac:dyDescent="0.3">
      <c r="C130" s="99" t="s">
        <v>220</v>
      </c>
      <c r="D130" s="102" t="s">
        <v>221</v>
      </c>
      <c r="E130" s="102">
        <v>0.33</v>
      </c>
      <c r="F130" s="102">
        <v>12.12</v>
      </c>
      <c r="G130" s="103">
        <v>4.87</v>
      </c>
    </row>
    <row r="131" spans="3:7" x14ac:dyDescent="0.3">
      <c r="C131" s="99" t="s">
        <v>222</v>
      </c>
      <c r="D131" s="104" t="s">
        <v>223</v>
      </c>
      <c r="E131" s="104">
        <v>0.01</v>
      </c>
      <c r="F131" s="104">
        <v>0.30412</v>
      </c>
      <c r="G131" s="105">
        <v>4.87</v>
      </c>
    </row>
    <row r="132" spans="3:7" x14ac:dyDescent="0.3">
      <c r="C132" s="106"/>
      <c r="D132" s="104" t="s">
        <v>224</v>
      </c>
      <c r="E132" s="104">
        <v>0.01</v>
      </c>
      <c r="F132" s="104">
        <v>0.3155</v>
      </c>
      <c r="G132" s="105">
        <v>4.87</v>
      </c>
    </row>
    <row r="133" spans="3:7" x14ac:dyDescent="0.3">
      <c r="C133" s="106"/>
      <c r="D133" s="100" t="s">
        <v>225</v>
      </c>
      <c r="E133" s="100">
        <v>0.01</v>
      </c>
      <c r="F133" s="100">
        <v>0.27129999999999999</v>
      </c>
      <c r="G133" s="101">
        <v>4.87</v>
      </c>
    </row>
    <row r="134" spans="3:7" x14ac:dyDescent="0.3">
      <c r="C134" s="106"/>
      <c r="D134" s="104" t="s">
        <v>226</v>
      </c>
      <c r="E134" s="104">
        <v>0.39</v>
      </c>
      <c r="F134" s="104">
        <v>10.36121</v>
      </c>
      <c r="G134" s="105">
        <v>3.51</v>
      </c>
    </row>
    <row r="135" spans="3:7" x14ac:dyDescent="0.3">
      <c r="C135" s="106"/>
      <c r="D135" s="104" t="s">
        <v>227</v>
      </c>
      <c r="E135" s="104">
        <v>0.39</v>
      </c>
      <c r="F135" s="104">
        <v>10.36121</v>
      </c>
      <c r="G135" s="105">
        <v>3.51</v>
      </c>
    </row>
    <row r="136" spans="3:7" x14ac:dyDescent="0.3">
      <c r="C136" s="106"/>
      <c r="D136" s="104" t="s">
        <v>228</v>
      </c>
      <c r="E136" s="104">
        <v>0.39</v>
      </c>
      <c r="F136" s="104">
        <v>10.241949999999999</v>
      </c>
      <c r="G136" s="105">
        <v>3.51</v>
      </c>
    </row>
    <row r="137" spans="3:7" x14ac:dyDescent="0.3">
      <c r="C137" s="106"/>
      <c r="D137" s="104" t="s">
        <v>229</v>
      </c>
      <c r="E137" s="104">
        <v>0.39</v>
      </c>
      <c r="F137" s="104">
        <v>10.241949999999999</v>
      </c>
      <c r="G137" s="105">
        <v>3.51</v>
      </c>
    </row>
    <row r="138" spans="3:7" x14ac:dyDescent="0.3">
      <c r="C138" s="106"/>
      <c r="D138" s="104" t="s">
        <v>230</v>
      </c>
      <c r="E138" s="104">
        <v>0.39</v>
      </c>
      <c r="F138" s="104">
        <v>10.241949999999999</v>
      </c>
      <c r="G138" s="105">
        <v>3.51</v>
      </c>
    </row>
    <row r="139" spans="3:7" x14ac:dyDescent="0.3">
      <c r="C139" s="106"/>
      <c r="D139" s="104" t="s">
        <v>231</v>
      </c>
      <c r="E139" s="104">
        <v>0.39</v>
      </c>
      <c r="F139" s="104">
        <v>10.241949999999999</v>
      </c>
      <c r="G139" s="105">
        <v>3.51</v>
      </c>
    </row>
    <row r="140" spans="3:7" x14ac:dyDescent="0.3">
      <c r="C140" s="106"/>
      <c r="D140" s="104" t="s">
        <v>232</v>
      </c>
      <c r="E140" s="104">
        <v>0.39</v>
      </c>
      <c r="F140" s="104">
        <v>10.241949999999999</v>
      </c>
      <c r="G140" s="105">
        <v>3.51</v>
      </c>
    </row>
    <row r="141" spans="3:7" x14ac:dyDescent="0.3">
      <c r="C141" s="106"/>
      <c r="D141" s="104" t="s">
        <v>233</v>
      </c>
      <c r="E141" s="104">
        <v>0.39</v>
      </c>
      <c r="F141" s="104">
        <v>10.241949999999999</v>
      </c>
      <c r="G141" s="105">
        <v>3.51</v>
      </c>
    </row>
    <row r="142" spans="3:7" x14ac:dyDescent="0.3">
      <c r="C142" s="106"/>
      <c r="D142" s="104" t="s">
        <v>234</v>
      </c>
      <c r="E142" s="104">
        <v>7.0000000000000007E-2</v>
      </c>
      <c r="F142" s="104">
        <v>2.4409999999999998</v>
      </c>
      <c r="G142" s="105">
        <v>4.87</v>
      </c>
    </row>
    <row r="143" spans="3:7" x14ac:dyDescent="0.3">
      <c r="C143" s="106"/>
      <c r="D143" s="104" t="s">
        <v>235</v>
      </c>
      <c r="E143" s="104">
        <v>0.02</v>
      </c>
      <c r="F143" s="104">
        <v>0.48164000000000001</v>
      </c>
      <c r="G143" s="105">
        <v>3.88</v>
      </c>
    </row>
    <row r="144" spans="3:7" x14ac:dyDescent="0.3">
      <c r="C144" s="107"/>
      <c r="D144" s="108" t="s">
        <v>236</v>
      </c>
      <c r="E144" s="108">
        <v>0.02</v>
      </c>
      <c r="F144" s="108">
        <v>0.64012000000000002</v>
      </c>
      <c r="G144" s="109">
        <v>3.88</v>
      </c>
    </row>
    <row r="148" spans="3:7" x14ac:dyDescent="0.3">
      <c r="C148" s="96" t="s">
        <v>237</v>
      </c>
      <c r="D148" s="97" t="s">
        <v>117</v>
      </c>
      <c r="E148" s="97" t="s">
        <v>14</v>
      </c>
      <c r="F148" s="97" t="s">
        <v>15</v>
      </c>
      <c r="G148" s="98" t="s">
        <v>118</v>
      </c>
    </row>
    <row r="149" spans="3:7" x14ac:dyDescent="0.3">
      <c r="C149" s="99" t="s">
        <v>238</v>
      </c>
      <c r="D149" s="102" t="s">
        <v>239</v>
      </c>
      <c r="E149" s="102">
        <v>0.88</v>
      </c>
      <c r="F149" s="102">
        <v>32.284799999999997</v>
      </c>
      <c r="G149" s="103">
        <v>4.87</v>
      </c>
    </row>
    <row r="150" spans="3:7" x14ac:dyDescent="0.3">
      <c r="C150" s="99" t="s">
        <v>240</v>
      </c>
      <c r="D150" s="100" t="s">
        <v>241</v>
      </c>
      <c r="E150" s="100">
        <v>0.01</v>
      </c>
      <c r="F150" s="100">
        <v>0.22797000000000001</v>
      </c>
      <c r="G150" s="101">
        <v>4.87</v>
      </c>
    </row>
    <row r="151" spans="3:7" x14ac:dyDescent="0.3">
      <c r="C151" s="99" t="s">
        <v>242</v>
      </c>
      <c r="D151" s="104" t="s">
        <v>243</v>
      </c>
      <c r="E151" s="104">
        <v>0.01</v>
      </c>
      <c r="F151" s="104">
        <v>0.45458999999999999</v>
      </c>
      <c r="G151" s="105">
        <v>4.87</v>
      </c>
    </row>
    <row r="152" spans="3:7" x14ac:dyDescent="0.3">
      <c r="C152" s="106"/>
      <c r="D152" s="100" t="s">
        <v>244</v>
      </c>
      <c r="E152" s="100">
        <v>0.01</v>
      </c>
      <c r="F152" s="100">
        <v>0.22797000000000001</v>
      </c>
      <c r="G152" s="101">
        <v>4.87</v>
      </c>
    </row>
    <row r="153" spans="3:7" x14ac:dyDescent="0.3">
      <c r="C153" s="106"/>
      <c r="D153" s="104" t="s">
        <v>245</v>
      </c>
      <c r="E153" s="104">
        <v>0.01</v>
      </c>
      <c r="F153" s="104">
        <v>0.45458999999999999</v>
      </c>
      <c r="G153" s="105">
        <v>4.87</v>
      </c>
    </row>
    <row r="154" spans="3:7" x14ac:dyDescent="0.3">
      <c r="C154" s="107"/>
      <c r="D154" s="108" t="s">
        <v>246</v>
      </c>
      <c r="E154" s="108">
        <v>0.01</v>
      </c>
      <c r="F154" s="108">
        <v>0.47886000000000001</v>
      </c>
      <c r="G154" s="109">
        <v>4.87</v>
      </c>
    </row>
    <row r="158" spans="3:7" x14ac:dyDescent="0.3">
      <c r="C158" s="96" t="s">
        <v>247</v>
      </c>
      <c r="D158" s="97" t="s">
        <v>117</v>
      </c>
      <c r="E158" s="97" t="s">
        <v>14</v>
      </c>
      <c r="F158" s="97" t="s">
        <v>15</v>
      </c>
      <c r="G158" s="98" t="s">
        <v>118</v>
      </c>
    </row>
    <row r="159" spans="3:7" x14ac:dyDescent="0.3">
      <c r="C159" s="99" t="s">
        <v>248</v>
      </c>
      <c r="D159" s="100" t="s">
        <v>249</v>
      </c>
      <c r="E159" s="100">
        <v>0</v>
      </c>
      <c r="F159" s="100">
        <v>0.13746</v>
      </c>
      <c r="G159" s="101">
        <v>4.87</v>
      </c>
    </row>
    <row r="160" spans="3:7" x14ac:dyDescent="0.3">
      <c r="C160" s="99" t="s">
        <v>250</v>
      </c>
      <c r="D160" s="102" t="s">
        <v>251</v>
      </c>
      <c r="E160" s="102">
        <v>0.01</v>
      </c>
      <c r="F160" s="102">
        <v>0.27411000000000002</v>
      </c>
      <c r="G160" s="103">
        <v>4.87</v>
      </c>
    </row>
    <row r="161" spans="3:7" x14ac:dyDescent="0.3">
      <c r="C161" s="99" t="s">
        <v>252</v>
      </c>
      <c r="D161" s="100" t="s">
        <v>253</v>
      </c>
      <c r="E161" s="100">
        <v>0</v>
      </c>
      <c r="F161" s="100">
        <v>0.13746</v>
      </c>
      <c r="G161" s="101">
        <v>4.87</v>
      </c>
    </row>
    <row r="162" spans="3:7" x14ac:dyDescent="0.3">
      <c r="C162" s="107"/>
      <c r="D162" s="110" t="s">
        <v>254</v>
      </c>
      <c r="E162" s="110">
        <v>0.01</v>
      </c>
      <c r="F162" s="110">
        <v>0.27411000000000002</v>
      </c>
      <c r="G162" s="111">
        <v>4.87</v>
      </c>
    </row>
    <row r="166" spans="3:7" x14ac:dyDescent="0.3">
      <c r="C166" s="96" t="s">
        <v>255</v>
      </c>
      <c r="D166" s="97" t="s">
        <v>117</v>
      </c>
      <c r="E166" s="97" t="s">
        <v>14</v>
      </c>
      <c r="F166" s="97" t="s">
        <v>15</v>
      </c>
      <c r="G166" s="98" t="s">
        <v>118</v>
      </c>
    </row>
    <row r="167" spans="3:7" x14ac:dyDescent="0.3">
      <c r="C167" s="99" t="s">
        <v>256</v>
      </c>
      <c r="D167" s="102" t="s">
        <v>257</v>
      </c>
      <c r="E167" s="102">
        <v>0.88</v>
      </c>
      <c r="F167" s="102">
        <v>32.284799999999997</v>
      </c>
      <c r="G167" s="103">
        <v>4.87</v>
      </c>
    </row>
    <row r="168" spans="3:7" x14ac:dyDescent="0.3">
      <c r="C168" s="99" t="s">
        <v>258</v>
      </c>
      <c r="D168" s="104"/>
      <c r="E168" s="104"/>
      <c r="F168" s="104"/>
      <c r="G168" s="105"/>
    </row>
    <row r="169" spans="3:7" x14ac:dyDescent="0.3">
      <c r="C169" s="114" t="s">
        <v>242</v>
      </c>
      <c r="D169" s="108"/>
      <c r="E169" s="108"/>
      <c r="F169" s="108"/>
      <c r="G169" s="109"/>
    </row>
    <row r="173" spans="3:7" x14ac:dyDescent="0.3">
      <c r="C173" s="96" t="s">
        <v>259</v>
      </c>
      <c r="D173" s="97" t="s">
        <v>117</v>
      </c>
      <c r="E173" s="97" t="s">
        <v>14</v>
      </c>
      <c r="F173" s="97" t="s">
        <v>15</v>
      </c>
      <c r="G173" s="98" t="s">
        <v>118</v>
      </c>
    </row>
    <row r="174" spans="3:7" x14ac:dyDescent="0.3">
      <c r="C174" s="99" t="s">
        <v>260</v>
      </c>
      <c r="D174" s="102" t="s">
        <v>261</v>
      </c>
      <c r="E174" s="102">
        <v>0.02</v>
      </c>
      <c r="F174" s="102">
        <v>0.62219999999999998</v>
      </c>
      <c r="G174" s="103">
        <v>4.5999999999999996</v>
      </c>
    </row>
    <row r="175" spans="3:7" x14ac:dyDescent="0.3">
      <c r="C175" s="99" t="s">
        <v>250</v>
      </c>
      <c r="D175" s="100" t="s">
        <v>262</v>
      </c>
      <c r="E175" s="100">
        <v>0</v>
      </c>
      <c r="F175" s="100">
        <v>1E-3</v>
      </c>
      <c r="G175" s="101">
        <v>0.44</v>
      </c>
    </row>
    <row r="176" spans="3:7" x14ac:dyDescent="0.3">
      <c r="C176" s="114" t="s">
        <v>263</v>
      </c>
      <c r="D176" s="108"/>
      <c r="E176" s="108"/>
      <c r="F176" s="108"/>
      <c r="G176" s="109"/>
    </row>
    <row r="180" spans="3:7" x14ac:dyDescent="0.3">
      <c r="C180" s="96" t="s">
        <v>264</v>
      </c>
      <c r="D180" s="97" t="s">
        <v>117</v>
      </c>
      <c r="E180" s="97" t="s">
        <v>14</v>
      </c>
      <c r="F180" s="97" t="s">
        <v>15</v>
      </c>
      <c r="G180" s="98" t="s">
        <v>118</v>
      </c>
    </row>
    <row r="181" spans="3:7" x14ac:dyDescent="0.3">
      <c r="C181" s="99" t="s">
        <v>265</v>
      </c>
      <c r="D181" s="102" t="s">
        <v>266</v>
      </c>
      <c r="E181" s="102">
        <v>0.63</v>
      </c>
      <c r="F181" s="102">
        <v>1.329</v>
      </c>
      <c r="G181" s="103">
        <v>0.28000000000000003</v>
      </c>
    </row>
    <row r="182" spans="3:7" x14ac:dyDescent="0.3">
      <c r="C182" s="99" t="s">
        <v>267</v>
      </c>
      <c r="D182" s="104"/>
      <c r="E182" s="104"/>
      <c r="F182" s="104"/>
      <c r="G182" s="105"/>
    </row>
    <row r="183" spans="3:7" x14ac:dyDescent="0.3">
      <c r="C183" s="114" t="s">
        <v>268</v>
      </c>
      <c r="D183" s="108"/>
      <c r="E183" s="108"/>
      <c r="F183" s="108"/>
      <c r="G183" s="109"/>
    </row>
    <row r="187" spans="3:7" x14ac:dyDescent="0.3">
      <c r="C187" s="96" t="s">
        <v>269</v>
      </c>
      <c r="D187" s="97" t="s">
        <v>117</v>
      </c>
      <c r="E187" s="97" t="s">
        <v>14</v>
      </c>
      <c r="F187" s="97" t="s">
        <v>15</v>
      </c>
      <c r="G187" s="98" t="s">
        <v>118</v>
      </c>
    </row>
    <row r="188" spans="3:7" x14ac:dyDescent="0.3">
      <c r="C188" s="99" t="s">
        <v>270</v>
      </c>
      <c r="D188" s="102" t="s">
        <v>262</v>
      </c>
      <c r="E188" s="102">
        <v>0.41</v>
      </c>
      <c r="F188" s="102">
        <v>1.365</v>
      </c>
      <c r="G188" s="103">
        <v>0.44</v>
      </c>
    </row>
    <row r="189" spans="3:7" x14ac:dyDescent="0.3">
      <c r="C189" s="99" t="s">
        <v>271</v>
      </c>
      <c r="D189" s="104"/>
      <c r="E189" s="104"/>
      <c r="F189" s="104"/>
      <c r="G189" s="105"/>
    </row>
    <row r="190" spans="3:7" x14ac:dyDescent="0.3">
      <c r="C190" s="114" t="s">
        <v>272</v>
      </c>
      <c r="D190" s="108"/>
      <c r="E190" s="108"/>
      <c r="F190" s="108"/>
      <c r="G190" s="109"/>
    </row>
    <row r="194" spans="3:7" x14ac:dyDescent="0.3">
      <c r="C194" s="96" t="s">
        <v>273</v>
      </c>
      <c r="D194" s="97" t="s">
        <v>117</v>
      </c>
      <c r="E194" s="97" t="s">
        <v>14</v>
      </c>
      <c r="F194" s="97" t="s">
        <v>15</v>
      </c>
      <c r="G194" s="98" t="s">
        <v>118</v>
      </c>
    </row>
    <row r="195" spans="3:7" x14ac:dyDescent="0.3">
      <c r="C195" s="99" t="s">
        <v>274</v>
      </c>
      <c r="D195" s="102" t="s">
        <v>275</v>
      </c>
      <c r="E195" s="102">
        <v>2.19</v>
      </c>
      <c r="F195" s="102">
        <v>29.081250000000001</v>
      </c>
      <c r="G195" s="103">
        <v>1.77</v>
      </c>
    </row>
    <row r="196" spans="3:7" x14ac:dyDescent="0.3">
      <c r="C196" s="99" t="s">
        <v>276</v>
      </c>
      <c r="D196" s="104"/>
      <c r="E196" s="104"/>
      <c r="F196" s="104"/>
      <c r="G196" s="105"/>
    </row>
    <row r="197" spans="3:7" x14ac:dyDescent="0.3">
      <c r="C197" s="114" t="s">
        <v>277</v>
      </c>
      <c r="D197" s="108"/>
      <c r="E197" s="108"/>
      <c r="F197" s="108"/>
      <c r="G197" s="109"/>
    </row>
    <row r="201" spans="3:7" x14ac:dyDescent="0.3">
      <c r="C201" s="96" t="s">
        <v>278</v>
      </c>
      <c r="D201" s="97" t="s">
        <v>117</v>
      </c>
      <c r="E201" s="97" t="s">
        <v>14</v>
      </c>
      <c r="F201" s="97" t="s">
        <v>15</v>
      </c>
      <c r="G201" s="98" t="s">
        <v>118</v>
      </c>
    </row>
    <row r="202" spans="3:7" x14ac:dyDescent="0.3">
      <c r="C202" s="99" t="s">
        <v>279</v>
      </c>
      <c r="D202" s="100" t="s">
        <v>280</v>
      </c>
      <c r="E202" s="100">
        <v>0.01</v>
      </c>
      <c r="F202" s="100">
        <v>0.186</v>
      </c>
      <c r="G202" s="101">
        <v>4.87</v>
      </c>
    </row>
    <row r="203" spans="3:7" x14ac:dyDescent="0.3">
      <c r="C203" s="99" t="s">
        <v>281</v>
      </c>
      <c r="D203" s="104" t="s">
        <v>282</v>
      </c>
      <c r="E203" s="104">
        <v>0.85</v>
      </c>
      <c r="F203" s="104">
        <v>31.04</v>
      </c>
      <c r="G203" s="105">
        <v>4.87</v>
      </c>
    </row>
    <row r="204" spans="3:7" x14ac:dyDescent="0.3">
      <c r="C204" s="99" t="s">
        <v>283</v>
      </c>
      <c r="D204" s="104" t="s">
        <v>284</v>
      </c>
      <c r="E204" s="104">
        <v>0.85</v>
      </c>
      <c r="F204" s="104">
        <v>31.04</v>
      </c>
      <c r="G204" s="105">
        <v>4.87</v>
      </c>
    </row>
    <row r="205" spans="3:7" x14ac:dyDescent="0.3">
      <c r="C205" s="106"/>
      <c r="D205" s="102" t="s">
        <v>285</v>
      </c>
      <c r="E205" s="102">
        <v>1.18</v>
      </c>
      <c r="F205" s="102">
        <v>43.12</v>
      </c>
      <c r="G205" s="103">
        <v>4.87</v>
      </c>
    </row>
    <row r="206" spans="3:7" x14ac:dyDescent="0.3">
      <c r="C206" s="106"/>
      <c r="D206" s="104" t="s">
        <v>286</v>
      </c>
      <c r="E206" s="104">
        <v>4</v>
      </c>
      <c r="F206" s="104">
        <v>3.3029999999999999</v>
      </c>
      <c r="G206" s="105">
        <v>0.11</v>
      </c>
    </row>
    <row r="207" spans="3:7" x14ac:dyDescent="0.3">
      <c r="C207" s="106"/>
      <c r="D207" s="104" t="s">
        <v>287</v>
      </c>
      <c r="E207" s="104">
        <v>1.44</v>
      </c>
      <c r="F207" s="104">
        <v>1.1879999999999999</v>
      </c>
      <c r="G207" s="105">
        <v>0.11</v>
      </c>
    </row>
    <row r="208" spans="3:7" x14ac:dyDescent="0.3">
      <c r="C208" s="106"/>
      <c r="D208" s="104" t="s">
        <v>288</v>
      </c>
      <c r="E208" s="104">
        <v>1.34</v>
      </c>
      <c r="F208" s="104">
        <v>0.90769999999999995</v>
      </c>
      <c r="G208" s="105">
        <v>0.09</v>
      </c>
    </row>
    <row r="209" spans="3:7" x14ac:dyDescent="0.3">
      <c r="C209" s="106"/>
      <c r="D209" s="104" t="s">
        <v>289</v>
      </c>
      <c r="E209" s="104">
        <v>0.84</v>
      </c>
      <c r="F209" s="104">
        <v>1.0665</v>
      </c>
      <c r="G209" s="105">
        <v>0.17</v>
      </c>
    </row>
    <row r="210" spans="3:7" x14ac:dyDescent="0.3">
      <c r="C210" s="106"/>
      <c r="D210" s="104" t="s">
        <v>290</v>
      </c>
      <c r="E210" s="104">
        <v>6.64</v>
      </c>
      <c r="F210" s="104">
        <v>14.933</v>
      </c>
      <c r="G210" s="105">
        <v>0.3</v>
      </c>
    </row>
    <row r="211" spans="3:7" x14ac:dyDescent="0.3">
      <c r="C211" s="106"/>
      <c r="D211" s="104" t="s">
        <v>291</v>
      </c>
      <c r="E211" s="104">
        <v>0.35</v>
      </c>
      <c r="F211" s="104">
        <v>3.6924999999999999</v>
      </c>
      <c r="G211" s="105">
        <v>1.39</v>
      </c>
    </row>
    <row r="212" spans="3:7" x14ac:dyDescent="0.3">
      <c r="C212" s="106"/>
      <c r="D212" s="104" t="s">
        <v>292</v>
      </c>
      <c r="E212" s="104">
        <v>0.19</v>
      </c>
      <c r="F212" s="104">
        <v>1.9359999999999999</v>
      </c>
      <c r="G212" s="105">
        <v>1.39</v>
      </c>
    </row>
    <row r="213" spans="3:7" x14ac:dyDescent="0.3">
      <c r="C213" s="107"/>
      <c r="D213" s="108" t="s">
        <v>293</v>
      </c>
      <c r="E213" s="108">
        <v>0.19</v>
      </c>
      <c r="F213" s="108">
        <v>1.9359999999999999</v>
      </c>
      <c r="G213" s="109">
        <v>1.39</v>
      </c>
    </row>
    <row r="217" spans="3:7" x14ac:dyDescent="0.3">
      <c r="C217" s="96" t="s">
        <v>294</v>
      </c>
      <c r="D217" s="97" t="s">
        <v>117</v>
      </c>
      <c r="E217" s="97" t="s">
        <v>14</v>
      </c>
      <c r="F217" s="97" t="s">
        <v>15</v>
      </c>
      <c r="G217" s="98" t="s">
        <v>118</v>
      </c>
    </row>
    <row r="218" spans="3:7" x14ac:dyDescent="0.3">
      <c r="C218" s="99" t="s">
        <v>295</v>
      </c>
      <c r="D218" s="102" t="s">
        <v>296</v>
      </c>
      <c r="E218" s="102">
        <v>0.05</v>
      </c>
      <c r="F218" s="102">
        <v>1.9896</v>
      </c>
      <c r="G218" s="103">
        <v>4.87</v>
      </c>
    </row>
    <row r="219" spans="3:7" x14ac:dyDescent="0.3">
      <c r="C219" s="99" t="s">
        <v>297</v>
      </c>
      <c r="D219" s="146" t="s">
        <v>298</v>
      </c>
      <c r="E219" s="102">
        <v>0.05</v>
      </c>
      <c r="F219" s="102">
        <v>1.9896</v>
      </c>
      <c r="G219" s="103">
        <v>4.87</v>
      </c>
    </row>
    <row r="220" spans="3:7" x14ac:dyDescent="0.3">
      <c r="C220" s="99" t="s">
        <v>299</v>
      </c>
      <c r="D220" s="104" t="s">
        <v>300</v>
      </c>
      <c r="E220" s="104">
        <v>0.03</v>
      </c>
      <c r="F220" s="104">
        <v>0.99480000000000002</v>
      </c>
      <c r="G220" s="105">
        <v>4.87</v>
      </c>
    </row>
    <row r="221" spans="3:7" x14ac:dyDescent="0.3">
      <c r="C221" s="106"/>
      <c r="D221" s="104" t="s">
        <v>301</v>
      </c>
      <c r="E221" s="104">
        <v>0.03</v>
      </c>
      <c r="F221" s="104">
        <v>0.99480000000000002</v>
      </c>
      <c r="G221" s="105">
        <v>4.87</v>
      </c>
    </row>
    <row r="222" spans="3:7" x14ac:dyDescent="0.3">
      <c r="C222" s="106"/>
      <c r="D222" s="100" t="s">
        <v>302</v>
      </c>
      <c r="E222" s="100">
        <v>0</v>
      </c>
      <c r="F222" s="100">
        <v>2.3E-2</v>
      </c>
      <c r="G222" s="101">
        <v>4.92</v>
      </c>
    </row>
    <row r="223" spans="3:7" x14ac:dyDescent="0.3">
      <c r="C223" s="107"/>
      <c r="D223" s="108" t="s">
        <v>303</v>
      </c>
      <c r="E223" s="108">
        <v>0.01</v>
      </c>
      <c r="F223" s="108">
        <v>0.23</v>
      </c>
      <c r="G223" s="109">
        <v>4.92</v>
      </c>
    </row>
    <row r="227" spans="3:7" x14ac:dyDescent="0.3">
      <c r="C227" s="96" t="s">
        <v>304</v>
      </c>
      <c r="D227" s="97" t="s">
        <v>117</v>
      </c>
      <c r="E227" s="97" t="s">
        <v>14</v>
      </c>
      <c r="F227" s="97" t="s">
        <v>15</v>
      </c>
      <c r="G227" s="98" t="s">
        <v>118</v>
      </c>
    </row>
    <row r="228" spans="3:7" x14ac:dyDescent="0.3">
      <c r="C228" s="99" t="s">
        <v>305</v>
      </c>
      <c r="D228" s="104" t="s">
        <v>306</v>
      </c>
      <c r="E228" s="104">
        <v>0.17</v>
      </c>
      <c r="F228" s="104">
        <v>6.08</v>
      </c>
      <c r="G228" s="105">
        <v>4.87</v>
      </c>
    </row>
    <row r="229" spans="3:7" x14ac:dyDescent="0.3">
      <c r="C229" s="99" t="s">
        <v>307</v>
      </c>
      <c r="D229" s="100" t="s">
        <v>308</v>
      </c>
      <c r="E229" s="100">
        <v>0.1</v>
      </c>
      <c r="F229" s="100">
        <v>3.68</v>
      </c>
      <c r="G229" s="101">
        <v>4.87</v>
      </c>
    </row>
    <row r="230" spans="3:7" x14ac:dyDescent="0.3">
      <c r="C230" s="114" t="s">
        <v>242</v>
      </c>
      <c r="D230" s="110" t="s">
        <v>309</v>
      </c>
      <c r="E230" s="110">
        <v>0.3</v>
      </c>
      <c r="F230" s="110">
        <v>11.135999999999999</v>
      </c>
      <c r="G230" s="111">
        <v>4.87</v>
      </c>
    </row>
    <row r="234" spans="3:7" x14ac:dyDescent="0.3">
      <c r="C234" s="96" t="s">
        <v>310</v>
      </c>
      <c r="D234" s="97" t="s">
        <v>117</v>
      </c>
      <c r="E234" s="97" t="s">
        <v>14</v>
      </c>
      <c r="F234" s="97" t="s">
        <v>15</v>
      </c>
      <c r="G234" s="98" t="s">
        <v>118</v>
      </c>
    </row>
    <row r="235" spans="3:7" x14ac:dyDescent="0.3">
      <c r="C235" s="99" t="s">
        <v>311</v>
      </c>
      <c r="D235" s="102" t="s">
        <v>312</v>
      </c>
      <c r="E235" s="102">
        <v>0.16</v>
      </c>
      <c r="F235" s="102">
        <v>5.82</v>
      </c>
      <c r="G235" s="103">
        <v>4.87</v>
      </c>
    </row>
    <row r="236" spans="3:7" x14ac:dyDescent="0.3">
      <c r="C236" s="99" t="s">
        <v>313</v>
      </c>
      <c r="D236" s="102" t="s">
        <v>314</v>
      </c>
      <c r="E236" s="102">
        <v>0.16</v>
      </c>
      <c r="F236" s="102">
        <v>5.82</v>
      </c>
      <c r="G236" s="103">
        <v>4.87</v>
      </c>
    </row>
    <row r="237" spans="3:7" x14ac:dyDescent="0.3">
      <c r="C237" s="114" t="s">
        <v>315</v>
      </c>
      <c r="D237" s="108"/>
      <c r="E237" s="108"/>
      <c r="F237" s="108"/>
      <c r="G237" s="109"/>
    </row>
    <row r="241" spans="3:7" x14ac:dyDescent="0.3">
      <c r="C241" s="96" t="s">
        <v>316</v>
      </c>
      <c r="D241" s="97" t="s">
        <v>117</v>
      </c>
      <c r="E241" s="97" t="s">
        <v>14</v>
      </c>
      <c r="F241" s="97" t="s">
        <v>15</v>
      </c>
      <c r="G241" s="98" t="s">
        <v>118</v>
      </c>
    </row>
    <row r="242" spans="3:7" x14ac:dyDescent="0.3">
      <c r="C242" s="99" t="s">
        <v>317</v>
      </c>
      <c r="D242" s="102" t="s">
        <v>318</v>
      </c>
      <c r="E242" s="102">
        <v>0.61</v>
      </c>
      <c r="F242" s="102">
        <v>11.5016</v>
      </c>
      <c r="G242" s="103">
        <v>2.5</v>
      </c>
    </row>
    <row r="243" spans="3:7" x14ac:dyDescent="0.3">
      <c r="C243" s="99" t="s">
        <v>319</v>
      </c>
      <c r="D243" s="104" t="s">
        <v>320</v>
      </c>
      <c r="E243" s="104">
        <v>0.13</v>
      </c>
      <c r="F243" s="104">
        <v>2.4043600000000001</v>
      </c>
      <c r="G243" s="105">
        <v>2.5</v>
      </c>
    </row>
    <row r="244" spans="3:7" x14ac:dyDescent="0.3">
      <c r="C244" s="114" t="s">
        <v>321</v>
      </c>
      <c r="D244" s="112" t="s">
        <v>322</v>
      </c>
      <c r="E244" s="112">
        <v>0</v>
      </c>
      <c r="F244" s="112">
        <v>2.7359999999999999E-2</v>
      </c>
      <c r="G244" s="113">
        <v>1.55</v>
      </c>
    </row>
    <row r="248" spans="3:7" x14ac:dyDescent="0.3">
      <c r="C248" s="96" t="s">
        <v>323</v>
      </c>
      <c r="D248" s="97" t="s">
        <v>117</v>
      </c>
      <c r="E248" s="97" t="s">
        <v>14</v>
      </c>
      <c r="F248" s="97" t="s">
        <v>15</v>
      </c>
      <c r="G248" s="98" t="s">
        <v>118</v>
      </c>
    </row>
    <row r="249" spans="3:7" x14ac:dyDescent="0.3">
      <c r="C249" s="99" t="s">
        <v>324</v>
      </c>
      <c r="D249" s="104" t="s">
        <v>325</v>
      </c>
      <c r="E249" s="104">
        <v>0.21</v>
      </c>
      <c r="F249" s="104">
        <v>2.5099999999999998</v>
      </c>
      <c r="G249" s="105">
        <v>1.57</v>
      </c>
    </row>
    <row r="250" spans="3:7" x14ac:dyDescent="0.3">
      <c r="C250" s="99" t="s">
        <v>326</v>
      </c>
      <c r="D250" s="100" t="s">
        <v>327</v>
      </c>
      <c r="E250" s="100">
        <v>0.26</v>
      </c>
      <c r="F250" s="100">
        <v>2.0442200000000001</v>
      </c>
      <c r="G250" s="101">
        <v>1.06</v>
      </c>
    </row>
    <row r="251" spans="3:7" x14ac:dyDescent="0.3">
      <c r="C251" s="99" t="s">
        <v>328</v>
      </c>
      <c r="D251" s="104" t="s">
        <v>329</v>
      </c>
      <c r="E251" s="104">
        <v>1.75</v>
      </c>
      <c r="F251" s="104">
        <v>21.831</v>
      </c>
      <c r="G251" s="105">
        <v>1.66</v>
      </c>
    </row>
    <row r="252" spans="3:7" x14ac:dyDescent="0.3">
      <c r="C252" s="106"/>
      <c r="D252" s="102" t="s">
        <v>330</v>
      </c>
      <c r="E252" s="102">
        <v>2.67</v>
      </c>
      <c r="F252" s="102">
        <v>62.560070000000003</v>
      </c>
      <c r="G252" s="103">
        <v>3.12</v>
      </c>
    </row>
    <row r="253" spans="3:7" x14ac:dyDescent="0.3">
      <c r="C253" s="106"/>
      <c r="D253" s="104" t="s">
        <v>331</v>
      </c>
      <c r="E253" s="104">
        <v>4.42</v>
      </c>
      <c r="F253" s="104">
        <v>56.006999999999998</v>
      </c>
      <c r="G253" s="105">
        <v>1.69</v>
      </c>
    </row>
    <row r="254" spans="3:7" x14ac:dyDescent="0.3">
      <c r="C254" s="106"/>
      <c r="D254" s="104" t="s">
        <v>322</v>
      </c>
      <c r="E254" s="104">
        <v>0.56000000000000005</v>
      </c>
      <c r="F254" s="104">
        <v>6.5208000000000004</v>
      </c>
      <c r="G254" s="105">
        <v>1.55</v>
      </c>
    </row>
    <row r="255" spans="3:7" x14ac:dyDescent="0.3">
      <c r="C255" s="107"/>
      <c r="D255" s="108" t="s">
        <v>332</v>
      </c>
      <c r="E255" s="108">
        <v>0.36</v>
      </c>
      <c r="F255" s="108">
        <v>4.8704000000000001</v>
      </c>
      <c r="G255" s="109">
        <v>1.81</v>
      </c>
    </row>
    <row r="259" spans="3:7" x14ac:dyDescent="0.3">
      <c r="C259" s="96" t="s">
        <v>333</v>
      </c>
      <c r="D259" s="97" t="s">
        <v>117</v>
      </c>
      <c r="E259" s="97" t="s">
        <v>14</v>
      </c>
      <c r="F259" s="97" t="s">
        <v>15</v>
      </c>
      <c r="G259" s="98" t="s">
        <v>118</v>
      </c>
    </row>
    <row r="260" spans="3:7" x14ac:dyDescent="0.3">
      <c r="C260" s="99" t="s">
        <v>334</v>
      </c>
      <c r="D260" s="100" t="s">
        <v>335</v>
      </c>
      <c r="E260" s="100">
        <v>0.61</v>
      </c>
      <c r="F260" s="100">
        <v>3.8159999999999998</v>
      </c>
      <c r="G260" s="101">
        <v>0.84</v>
      </c>
    </row>
    <row r="261" spans="3:7" x14ac:dyDescent="0.3">
      <c r="C261" s="99" t="s">
        <v>336</v>
      </c>
      <c r="D261" s="102" t="s">
        <v>331</v>
      </c>
      <c r="E261" s="102">
        <v>4.42</v>
      </c>
      <c r="F261" s="102">
        <v>56.006999999999998</v>
      </c>
      <c r="G261" s="103">
        <v>1.69</v>
      </c>
    </row>
    <row r="262" spans="3:7" x14ac:dyDescent="0.3">
      <c r="C262" s="99" t="s">
        <v>337</v>
      </c>
      <c r="D262" s="104" t="s">
        <v>322</v>
      </c>
      <c r="E262" s="104">
        <v>1.8</v>
      </c>
      <c r="F262" s="104">
        <v>20.9209</v>
      </c>
      <c r="G262" s="105">
        <v>1.55</v>
      </c>
    </row>
    <row r="263" spans="3:7" x14ac:dyDescent="0.3">
      <c r="C263" s="107"/>
      <c r="D263" s="108" t="s">
        <v>332</v>
      </c>
      <c r="E263" s="108">
        <v>0.83</v>
      </c>
      <c r="F263" s="108">
        <v>11.2628</v>
      </c>
      <c r="G263" s="109">
        <v>1.81</v>
      </c>
    </row>
    <row r="267" spans="3:7" x14ac:dyDescent="0.3">
      <c r="C267" s="96" t="s">
        <v>338</v>
      </c>
      <c r="D267" s="97" t="s">
        <v>117</v>
      </c>
      <c r="E267" s="97" t="s">
        <v>14</v>
      </c>
      <c r="F267" s="97" t="s">
        <v>15</v>
      </c>
      <c r="G267" s="98" t="s">
        <v>118</v>
      </c>
    </row>
    <row r="268" spans="3:7" x14ac:dyDescent="0.3">
      <c r="C268" s="99" t="s">
        <v>339</v>
      </c>
      <c r="D268" s="104" t="s">
        <v>340</v>
      </c>
      <c r="E268" s="104">
        <v>1.0900000000000001</v>
      </c>
      <c r="F268" s="104">
        <v>20.440000000000001</v>
      </c>
      <c r="G268" s="105">
        <v>2.5</v>
      </c>
    </row>
    <row r="269" spans="3:7" x14ac:dyDescent="0.3">
      <c r="C269" s="99" t="s">
        <v>341</v>
      </c>
      <c r="D269" s="100" t="s">
        <v>342</v>
      </c>
      <c r="E269" s="100">
        <v>0.16</v>
      </c>
      <c r="F269" s="100">
        <v>1.9890000000000001</v>
      </c>
      <c r="G269" s="101">
        <v>1.65</v>
      </c>
    </row>
    <row r="270" spans="3:7" x14ac:dyDescent="0.3">
      <c r="C270" s="99" t="s">
        <v>343</v>
      </c>
      <c r="D270" s="102" t="s">
        <v>329</v>
      </c>
      <c r="E270" s="102">
        <v>1.75</v>
      </c>
      <c r="F270" s="102">
        <v>21.831</v>
      </c>
      <c r="G270" s="103">
        <v>1.66</v>
      </c>
    </row>
    <row r="271" spans="3:7" x14ac:dyDescent="0.3">
      <c r="C271" s="106"/>
      <c r="D271" s="104" t="s">
        <v>330</v>
      </c>
      <c r="E271" s="104">
        <v>0.83</v>
      </c>
      <c r="F271" s="104">
        <v>19.33344</v>
      </c>
      <c r="G271" s="105">
        <v>3.12</v>
      </c>
    </row>
    <row r="272" spans="3:7" x14ac:dyDescent="0.3">
      <c r="C272" s="106"/>
      <c r="D272" s="104" t="s">
        <v>322</v>
      </c>
      <c r="E272" s="104">
        <v>0.93</v>
      </c>
      <c r="F272" s="104">
        <v>10.868</v>
      </c>
      <c r="G272" s="105">
        <v>1.55</v>
      </c>
    </row>
    <row r="273" spans="3:7" x14ac:dyDescent="0.3">
      <c r="C273" s="107"/>
      <c r="D273" s="108" t="s">
        <v>332</v>
      </c>
      <c r="E273" s="108">
        <v>0.45</v>
      </c>
      <c r="F273" s="108">
        <v>6.0880000000000001</v>
      </c>
      <c r="G273" s="109">
        <v>1.81</v>
      </c>
    </row>
    <row r="277" spans="3:7" x14ac:dyDescent="0.3">
      <c r="C277" s="96" t="s">
        <v>344</v>
      </c>
      <c r="D277" s="97" t="s">
        <v>117</v>
      </c>
      <c r="E277" s="97" t="s">
        <v>14</v>
      </c>
      <c r="F277" s="97" t="s">
        <v>15</v>
      </c>
      <c r="G277" s="98" t="s">
        <v>118</v>
      </c>
    </row>
    <row r="278" spans="3:7" x14ac:dyDescent="0.3">
      <c r="C278" s="99" t="s">
        <v>345</v>
      </c>
      <c r="D278" s="102" t="s">
        <v>346</v>
      </c>
      <c r="E278" s="102">
        <v>0.36</v>
      </c>
      <c r="F278" s="102">
        <v>7.9391999999999996</v>
      </c>
      <c r="G278" s="103">
        <v>2.98</v>
      </c>
    </row>
    <row r="279" spans="3:7" x14ac:dyDescent="0.3">
      <c r="C279" s="99" t="s">
        <v>347</v>
      </c>
      <c r="D279" s="100" t="s">
        <v>348</v>
      </c>
      <c r="E279" s="100">
        <v>0.34</v>
      </c>
      <c r="F279" s="100">
        <v>4.5267600000000003</v>
      </c>
      <c r="G279" s="101">
        <v>1.8</v>
      </c>
    </row>
    <row r="280" spans="3:7" x14ac:dyDescent="0.3">
      <c r="C280" s="99" t="s">
        <v>349</v>
      </c>
      <c r="D280" s="104" t="s">
        <v>322</v>
      </c>
      <c r="E280" s="104">
        <v>0.65</v>
      </c>
      <c r="F280" s="104">
        <v>7.6075999999999997</v>
      </c>
      <c r="G280" s="105">
        <v>1.55</v>
      </c>
    </row>
    <row r="281" spans="3:7" x14ac:dyDescent="0.3">
      <c r="C281" s="107"/>
      <c r="D281" s="108" t="s">
        <v>332</v>
      </c>
      <c r="E281" s="108">
        <v>0.36</v>
      </c>
      <c r="F281" s="108">
        <v>4.8704000000000001</v>
      </c>
      <c r="G281" s="109">
        <v>1.81</v>
      </c>
    </row>
    <row r="285" spans="3:7" x14ac:dyDescent="0.3">
      <c r="C285" s="96" t="s">
        <v>350</v>
      </c>
      <c r="D285" s="97" t="s">
        <v>117</v>
      </c>
      <c r="E285" s="97" t="s">
        <v>14</v>
      </c>
      <c r="F285" s="97" t="s">
        <v>15</v>
      </c>
      <c r="G285" s="98" t="s">
        <v>118</v>
      </c>
    </row>
    <row r="286" spans="3:7" x14ac:dyDescent="0.3">
      <c r="C286" s="99" t="s">
        <v>351</v>
      </c>
      <c r="D286" s="102" t="s">
        <v>352</v>
      </c>
      <c r="E286" s="102">
        <v>0.91</v>
      </c>
      <c r="F286" s="102">
        <v>27.059760000000001</v>
      </c>
      <c r="G286" s="103">
        <v>3.96</v>
      </c>
    </row>
    <row r="287" spans="3:7" x14ac:dyDescent="0.3">
      <c r="C287" s="99" t="s">
        <v>353</v>
      </c>
      <c r="D287" s="104" t="s">
        <v>322</v>
      </c>
      <c r="E287" s="104">
        <v>0.84</v>
      </c>
      <c r="F287" s="104">
        <v>9.7812000000000001</v>
      </c>
      <c r="G287" s="105">
        <v>1.55</v>
      </c>
    </row>
    <row r="288" spans="3:7" x14ac:dyDescent="0.3">
      <c r="C288" s="99" t="s">
        <v>354</v>
      </c>
      <c r="D288" s="104" t="s">
        <v>355</v>
      </c>
      <c r="E288" s="104">
        <v>1.86</v>
      </c>
      <c r="F288" s="104">
        <v>5.3</v>
      </c>
      <c r="G288" s="105">
        <v>0.38</v>
      </c>
    </row>
    <row r="289" spans="3:7" x14ac:dyDescent="0.3">
      <c r="C289" s="106"/>
      <c r="D289" s="100" t="s">
        <v>356</v>
      </c>
      <c r="E289" s="100">
        <v>7.0000000000000007E-2</v>
      </c>
      <c r="F289" s="100">
        <v>3</v>
      </c>
      <c r="G289" s="101">
        <v>5.75</v>
      </c>
    </row>
    <row r="290" spans="3:7" x14ac:dyDescent="0.3">
      <c r="C290" s="107"/>
      <c r="D290" s="108" t="s">
        <v>332</v>
      </c>
      <c r="E290" s="108">
        <v>0.36</v>
      </c>
      <c r="F290" s="108">
        <v>4.8704000000000001</v>
      </c>
      <c r="G290" s="109">
        <v>1.81</v>
      </c>
    </row>
    <row r="294" spans="3:7" x14ac:dyDescent="0.3">
      <c r="C294" s="96" t="s">
        <v>357</v>
      </c>
      <c r="D294" s="97" t="s">
        <v>117</v>
      </c>
      <c r="E294" s="97" t="s">
        <v>14</v>
      </c>
      <c r="F294" s="97" t="s">
        <v>15</v>
      </c>
      <c r="G294" s="98" t="s">
        <v>118</v>
      </c>
    </row>
    <row r="295" spans="3:7" x14ac:dyDescent="0.3">
      <c r="C295" s="99" t="s">
        <v>358</v>
      </c>
      <c r="D295" s="104" t="s">
        <v>359</v>
      </c>
      <c r="E295" s="104">
        <v>0.05</v>
      </c>
      <c r="F295" s="104">
        <v>1.7623599999999999</v>
      </c>
      <c r="G295" s="105">
        <v>4.87</v>
      </c>
    </row>
    <row r="296" spans="3:7" x14ac:dyDescent="0.3">
      <c r="C296" s="99" t="s">
        <v>360</v>
      </c>
      <c r="D296" s="104" t="s">
        <v>361</v>
      </c>
      <c r="E296" s="104">
        <v>0.05</v>
      </c>
      <c r="F296" s="104">
        <v>1.83</v>
      </c>
      <c r="G296" s="105">
        <v>4.87</v>
      </c>
    </row>
    <row r="297" spans="3:7" x14ac:dyDescent="0.3">
      <c r="C297" s="99" t="s">
        <v>362</v>
      </c>
      <c r="D297" s="104" t="s">
        <v>363</v>
      </c>
      <c r="E297" s="104">
        <v>0.3</v>
      </c>
      <c r="F297" s="104">
        <v>4.7526999999999999</v>
      </c>
      <c r="G297" s="105">
        <v>2.1</v>
      </c>
    </row>
    <row r="298" spans="3:7" x14ac:dyDescent="0.3">
      <c r="C298" s="106"/>
      <c r="D298" s="102" t="s">
        <v>364</v>
      </c>
      <c r="E298" s="102">
        <v>0.28000000000000003</v>
      </c>
      <c r="F298" s="102">
        <v>10.086</v>
      </c>
      <c r="G298" s="103">
        <v>4.87</v>
      </c>
    </row>
    <row r="299" spans="3:7" x14ac:dyDescent="0.3">
      <c r="C299" s="106"/>
      <c r="D299" s="100" t="s">
        <v>365</v>
      </c>
      <c r="E299" s="100">
        <v>0.01</v>
      </c>
      <c r="F299" s="100">
        <v>0.45700000000000002</v>
      </c>
      <c r="G299" s="101">
        <v>4.87</v>
      </c>
    </row>
    <row r="300" spans="3:7" x14ac:dyDescent="0.3">
      <c r="C300" s="107"/>
      <c r="D300" s="108" t="s">
        <v>366</v>
      </c>
      <c r="E300" s="108">
        <v>0.01</v>
      </c>
      <c r="F300" s="108">
        <v>0.52963000000000005</v>
      </c>
      <c r="G300" s="109">
        <v>4.87</v>
      </c>
    </row>
    <row r="304" spans="3:7" x14ac:dyDescent="0.3">
      <c r="C304" s="96" t="s">
        <v>367</v>
      </c>
      <c r="D304" s="97" t="s">
        <v>117</v>
      </c>
      <c r="E304" s="97" t="s">
        <v>14</v>
      </c>
      <c r="F304" s="97" t="s">
        <v>15</v>
      </c>
      <c r="G304" s="98" t="s">
        <v>118</v>
      </c>
    </row>
    <row r="305" spans="3:7" x14ac:dyDescent="0.3">
      <c r="C305" s="99" t="s">
        <v>368</v>
      </c>
      <c r="D305" s="104" t="s">
        <v>369</v>
      </c>
      <c r="E305" s="104">
        <v>0</v>
      </c>
      <c r="F305" s="104">
        <v>0.16916999999999999</v>
      </c>
      <c r="G305" s="105">
        <v>4.87</v>
      </c>
    </row>
    <row r="306" spans="3:7" x14ac:dyDescent="0.3">
      <c r="C306" s="99" t="s">
        <v>370</v>
      </c>
      <c r="D306" s="100" t="s">
        <v>371</v>
      </c>
      <c r="E306" s="100">
        <v>0</v>
      </c>
      <c r="F306" s="100">
        <v>5.2510000000000001E-2</v>
      </c>
      <c r="G306" s="101">
        <v>4.87</v>
      </c>
    </row>
    <row r="307" spans="3:7" x14ac:dyDescent="0.3">
      <c r="C307" s="114" t="s">
        <v>372</v>
      </c>
      <c r="D307" s="110" t="s">
        <v>373</v>
      </c>
      <c r="E307" s="110">
        <v>0.1</v>
      </c>
      <c r="F307" s="110">
        <v>3.7</v>
      </c>
      <c r="G307" s="111">
        <v>4.87</v>
      </c>
    </row>
    <row r="311" spans="3:7" x14ac:dyDescent="0.3">
      <c r="C311" s="96" t="s">
        <v>374</v>
      </c>
      <c r="D311" s="97" t="s">
        <v>117</v>
      </c>
      <c r="E311" s="97" t="s">
        <v>14</v>
      </c>
      <c r="F311" s="97" t="s">
        <v>15</v>
      </c>
      <c r="G311" s="98" t="s">
        <v>118</v>
      </c>
    </row>
    <row r="312" spans="3:7" x14ac:dyDescent="0.3">
      <c r="C312" s="99" t="s">
        <v>375</v>
      </c>
      <c r="D312" s="102" t="s">
        <v>376</v>
      </c>
      <c r="E312" s="102">
        <v>0.01</v>
      </c>
      <c r="F312" s="102">
        <v>0.24302000000000001</v>
      </c>
      <c r="G312" s="103">
        <v>3.88</v>
      </c>
    </row>
    <row r="313" spans="3:7" x14ac:dyDescent="0.3">
      <c r="C313" s="99" t="s">
        <v>250</v>
      </c>
      <c r="D313" s="100" t="s">
        <v>377</v>
      </c>
      <c r="E313" s="100">
        <v>0.01</v>
      </c>
      <c r="F313" s="100">
        <v>0.20530000000000001</v>
      </c>
      <c r="G313" s="101">
        <v>4.25</v>
      </c>
    </row>
    <row r="314" spans="3:7" x14ac:dyDescent="0.3">
      <c r="C314" s="114" t="s">
        <v>378</v>
      </c>
      <c r="D314" s="108"/>
      <c r="E314" s="108"/>
      <c r="F314" s="108"/>
      <c r="G314" s="109"/>
    </row>
    <row r="318" spans="3:7" x14ac:dyDescent="0.3">
      <c r="C318" s="96" t="s">
        <v>379</v>
      </c>
      <c r="D318" s="97" t="s">
        <v>117</v>
      </c>
      <c r="E318" s="97" t="s">
        <v>14</v>
      </c>
      <c r="F318" s="97" t="s">
        <v>15</v>
      </c>
      <c r="G318" s="98" t="s">
        <v>118</v>
      </c>
    </row>
    <row r="319" spans="3:7" x14ac:dyDescent="0.3">
      <c r="C319" s="99" t="s">
        <v>380</v>
      </c>
      <c r="D319" s="104" t="s">
        <v>381</v>
      </c>
      <c r="E319" s="104">
        <v>7.0000000000000007E-2</v>
      </c>
      <c r="F319" s="104">
        <v>16.777000000000001</v>
      </c>
      <c r="G319" s="105">
        <v>33.69</v>
      </c>
    </row>
    <row r="320" spans="3:7" x14ac:dyDescent="0.3">
      <c r="C320" s="99" t="s">
        <v>382</v>
      </c>
      <c r="D320" s="104" t="s">
        <v>381</v>
      </c>
      <c r="E320" s="104">
        <v>0.05</v>
      </c>
      <c r="F320" s="104">
        <v>12.24</v>
      </c>
      <c r="G320" s="105">
        <v>33.69</v>
      </c>
    </row>
    <row r="321" spans="3:7" x14ac:dyDescent="0.3">
      <c r="C321" s="99" t="s">
        <v>383</v>
      </c>
      <c r="D321" s="104" t="s">
        <v>384</v>
      </c>
      <c r="E321" s="104">
        <v>0.06</v>
      </c>
      <c r="F321" s="104">
        <v>14.93</v>
      </c>
      <c r="G321" s="105">
        <v>33.69</v>
      </c>
    </row>
    <row r="322" spans="3:7" x14ac:dyDescent="0.3">
      <c r="C322" s="106"/>
      <c r="D322" s="104" t="s">
        <v>385</v>
      </c>
      <c r="E322" s="104">
        <v>0.17</v>
      </c>
      <c r="F322" s="104">
        <v>16.433</v>
      </c>
      <c r="G322" s="105">
        <v>13.16</v>
      </c>
    </row>
    <row r="323" spans="3:7" x14ac:dyDescent="0.3">
      <c r="C323" s="106"/>
      <c r="D323" s="104" t="s">
        <v>386</v>
      </c>
      <c r="E323" s="104">
        <v>0.11</v>
      </c>
      <c r="F323" s="104">
        <v>11.85</v>
      </c>
      <c r="G323" s="105">
        <v>14.61</v>
      </c>
    </row>
    <row r="324" spans="3:7" x14ac:dyDescent="0.3">
      <c r="C324" s="106"/>
      <c r="D324" s="104" t="s">
        <v>387</v>
      </c>
      <c r="E324" s="104">
        <v>0.4</v>
      </c>
      <c r="F324" s="104">
        <v>25</v>
      </c>
      <c r="G324" s="105">
        <v>8.43</v>
      </c>
    </row>
    <row r="325" spans="3:7" x14ac:dyDescent="0.3">
      <c r="C325" s="106"/>
      <c r="D325" s="104" t="s">
        <v>388</v>
      </c>
      <c r="E325" s="104">
        <v>0.4</v>
      </c>
      <c r="F325" s="104">
        <v>25</v>
      </c>
      <c r="G325" s="105">
        <v>8.43</v>
      </c>
    </row>
    <row r="326" spans="3:7" x14ac:dyDescent="0.3">
      <c r="C326" s="106"/>
      <c r="D326" s="104" t="s">
        <v>389</v>
      </c>
      <c r="E326" s="104">
        <v>0.21</v>
      </c>
      <c r="F326" s="104">
        <v>27.655000000000001</v>
      </c>
      <c r="G326" s="105">
        <v>17.850000000000001</v>
      </c>
    </row>
    <row r="327" spans="3:7" x14ac:dyDescent="0.3">
      <c r="C327" s="106"/>
      <c r="D327" s="102" t="s">
        <v>390</v>
      </c>
      <c r="E327" s="102">
        <v>0.26</v>
      </c>
      <c r="F327" s="102">
        <v>48.134999999999998</v>
      </c>
      <c r="G327" s="103">
        <v>24.77</v>
      </c>
    </row>
    <row r="328" spans="3:7" x14ac:dyDescent="0.3">
      <c r="C328" s="106"/>
      <c r="D328" s="104" t="s">
        <v>391</v>
      </c>
      <c r="E328" s="104">
        <v>0.48</v>
      </c>
      <c r="F328" s="104">
        <v>27.228000000000002</v>
      </c>
      <c r="G328" s="105">
        <v>7.57</v>
      </c>
    </row>
    <row r="329" spans="3:7" x14ac:dyDescent="0.3">
      <c r="C329" s="106"/>
      <c r="D329" s="104" t="s">
        <v>392</v>
      </c>
      <c r="E329" s="104">
        <v>0.04</v>
      </c>
      <c r="F329" s="104">
        <v>5.1180000000000003</v>
      </c>
      <c r="G329" s="105">
        <v>18.010000000000002</v>
      </c>
    </row>
    <row r="330" spans="3:7" x14ac:dyDescent="0.3">
      <c r="C330" s="106"/>
      <c r="D330" s="104" t="s">
        <v>393</v>
      </c>
      <c r="E330" s="104">
        <v>0.12</v>
      </c>
      <c r="F330" s="104">
        <v>13.41</v>
      </c>
      <c r="G330" s="105">
        <v>14.55</v>
      </c>
    </row>
    <row r="331" spans="3:7" x14ac:dyDescent="0.3">
      <c r="C331" s="106"/>
      <c r="D331" s="104" t="s">
        <v>394</v>
      </c>
      <c r="E331" s="104">
        <v>0.04</v>
      </c>
      <c r="F331" s="104">
        <v>3.68</v>
      </c>
      <c r="G331" s="105">
        <v>13.78</v>
      </c>
    </row>
    <row r="332" spans="3:7" x14ac:dyDescent="0.3">
      <c r="C332" s="106"/>
      <c r="D332" s="104" t="s">
        <v>395</v>
      </c>
      <c r="E332" s="104">
        <v>0.02</v>
      </c>
      <c r="F332" s="104">
        <v>2.105</v>
      </c>
      <c r="G332" s="105">
        <v>12.79</v>
      </c>
    </row>
    <row r="333" spans="3:7" x14ac:dyDescent="0.3">
      <c r="C333" s="106"/>
      <c r="D333" s="104" t="s">
        <v>396</v>
      </c>
      <c r="E333" s="104">
        <v>0.09</v>
      </c>
      <c r="F333" s="104">
        <v>7.2350000000000003</v>
      </c>
      <c r="G333" s="105">
        <v>10.46</v>
      </c>
    </row>
    <row r="334" spans="3:7" x14ac:dyDescent="0.3">
      <c r="C334" s="106"/>
      <c r="D334" s="104" t="s">
        <v>397</v>
      </c>
      <c r="E334" s="104">
        <v>0.12</v>
      </c>
      <c r="F334" s="104">
        <v>15.819000000000001</v>
      </c>
      <c r="G334" s="105">
        <v>18.18</v>
      </c>
    </row>
    <row r="335" spans="3:7" x14ac:dyDescent="0.3">
      <c r="C335" s="106"/>
      <c r="D335" s="104" t="s">
        <v>392</v>
      </c>
      <c r="E335" s="104">
        <v>0.11</v>
      </c>
      <c r="F335" s="104">
        <v>15.515000000000001</v>
      </c>
      <c r="G335" s="105">
        <v>18.010000000000002</v>
      </c>
    </row>
    <row r="336" spans="3:7" x14ac:dyDescent="0.3">
      <c r="C336" s="106"/>
      <c r="D336" s="104" t="s">
        <v>398</v>
      </c>
      <c r="E336" s="104">
        <v>0.04</v>
      </c>
      <c r="F336" s="104">
        <v>5.7510000000000003</v>
      </c>
      <c r="G336" s="105">
        <v>19.440000000000001</v>
      </c>
    </row>
    <row r="337" spans="3:7" x14ac:dyDescent="0.3">
      <c r="C337" s="106"/>
      <c r="D337" s="104" t="s">
        <v>399</v>
      </c>
      <c r="E337" s="104">
        <v>0.18</v>
      </c>
      <c r="F337" s="104">
        <v>19.899999999999999</v>
      </c>
      <c r="G337" s="105">
        <v>14.83</v>
      </c>
    </row>
    <row r="338" spans="3:7" x14ac:dyDescent="0.3">
      <c r="C338" s="106"/>
      <c r="D338" s="104" t="s">
        <v>400</v>
      </c>
      <c r="E338" s="104">
        <v>0.01</v>
      </c>
      <c r="F338" s="104">
        <v>1.84</v>
      </c>
      <c r="G338" s="105">
        <v>18.190000000000001</v>
      </c>
    </row>
    <row r="339" spans="3:7" x14ac:dyDescent="0.3">
      <c r="C339" s="106"/>
      <c r="D339" s="104" t="s">
        <v>401</v>
      </c>
      <c r="E339" s="104">
        <v>0.16</v>
      </c>
      <c r="F339" s="104">
        <v>36.299999999999997</v>
      </c>
      <c r="G339" s="105">
        <v>30.28</v>
      </c>
    </row>
    <row r="340" spans="3:7" x14ac:dyDescent="0.3">
      <c r="C340" s="106"/>
      <c r="D340" s="104" t="s">
        <v>402</v>
      </c>
      <c r="E340" s="104">
        <v>0.09</v>
      </c>
      <c r="F340" s="104">
        <v>15</v>
      </c>
      <c r="G340" s="105">
        <v>21.26</v>
      </c>
    </row>
    <row r="341" spans="3:7" x14ac:dyDescent="0.3">
      <c r="C341" s="106"/>
      <c r="D341" s="104" t="s">
        <v>403</v>
      </c>
      <c r="E341" s="104">
        <v>0.12</v>
      </c>
      <c r="F341" s="104">
        <v>14.3</v>
      </c>
      <c r="G341" s="105">
        <v>15.69</v>
      </c>
    </row>
    <row r="342" spans="3:7" x14ac:dyDescent="0.3">
      <c r="C342" s="106"/>
      <c r="D342" s="104" t="s">
        <v>404</v>
      </c>
      <c r="E342" s="104">
        <v>0.04</v>
      </c>
      <c r="F342" s="104">
        <v>6.3650000000000002</v>
      </c>
      <c r="G342" s="105">
        <v>22.36</v>
      </c>
    </row>
    <row r="343" spans="3:7" x14ac:dyDescent="0.3">
      <c r="C343" s="106"/>
      <c r="D343" s="104" t="s">
        <v>397</v>
      </c>
      <c r="E343" s="104">
        <v>0.17</v>
      </c>
      <c r="F343" s="104">
        <v>23.175000000000001</v>
      </c>
      <c r="G343" s="105">
        <v>18.18</v>
      </c>
    </row>
    <row r="344" spans="3:7" x14ac:dyDescent="0.3">
      <c r="C344" s="106"/>
      <c r="D344" s="104" t="s">
        <v>405</v>
      </c>
      <c r="E344" s="104">
        <v>0.01</v>
      </c>
      <c r="F344" s="104">
        <v>1.4850000000000001</v>
      </c>
      <c r="G344" s="105">
        <v>20.38</v>
      </c>
    </row>
    <row r="345" spans="3:7" x14ac:dyDescent="0.3">
      <c r="C345" s="106"/>
      <c r="D345" s="104" t="s">
        <v>406</v>
      </c>
      <c r="E345" s="104">
        <v>0.01</v>
      </c>
      <c r="F345" s="104">
        <v>1.1299999999999999</v>
      </c>
      <c r="G345" s="105">
        <v>21.1</v>
      </c>
    </row>
    <row r="346" spans="3:7" x14ac:dyDescent="0.3">
      <c r="C346" s="106"/>
      <c r="D346" s="104" t="s">
        <v>407</v>
      </c>
      <c r="E346" s="104">
        <v>0.01</v>
      </c>
      <c r="F346" s="104">
        <v>1.44</v>
      </c>
      <c r="G346" s="105">
        <v>15.39</v>
      </c>
    </row>
    <row r="347" spans="3:7" x14ac:dyDescent="0.3">
      <c r="C347" s="106"/>
      <c r="D347" s="104" t="s">
        <v>408</v>
      </c>
      <c r="E347" s="104">
        <v>0.06</v>
      </c>
      <c r="F347" s="104">
        <v>3.2</v>
      </c>
      <c r="G347" s="105">
        <v>6.76</v>
      </c>
    </row>
    <row r="348" spans="3:7" x14ac:dyDescent="0.3">
      <c r="C348" s="106"/>
      <c r="D348" s="104" t="s">
        <v>409</v>
      </c>
      <c r="E348" s="104">
        <v>0.01</v>
      </c>
      <c r="F348" s="104">
        <v>2.12</v>
      </c>
      <c r="G348" s="105">
        <v>19.559999999999999</v>
      </c>
    </row>
    <row r="349" spans="3:7" x14ac:dyDescent="0.3">
      <c r="C349" s="107"/>
      <c r="D349" s="112" t="s">
        <v>410</v>
      </c>
      <c r="E349" s="112">
        <v>0</v>
      </c>
      <c r="F349" s="112">
        <v>0.3</v>
      </c>
      <c r="G349" s="113">
        <v>10.33</v>
      </c>
    </row>
    <row r="353" spans="3:7" x14ac:dyDescent="0.3">
      <c r="C353" s="96" t="s">
        <v>411</v>
      </c>
      <c r="D353" s="97" t="s">
        <v>117</v>
      </c>
      <c r="E353" s="97" t="s">
        <v>14</v>
      </c>
      <c r="F353" s="97" t="s">
        <v>15</v>
      </c>
      <c r="G353" s="98" t="s">
        <v>118</v>
      </c>
    </row>
    <row r="354" spans="3:7" x14ac:dyDescent="0.3">
      <c r="C354" s="99" t="s">
        <v>412</v>
      </c>
      <c r="D354" s="104" t="s">
        <v>413</v>
      </c>
      <c r="E354" s="104">
        <v>0.4</v>
      </c>
      <c r="F354" s="104">
        <v>25</v>
      </c>
      <c r="G354" s="105">
        <v>8.43</v>
      </c>
    </row>
    <row r="355" spans="3:7" x14ac:dyDescent="0.3">
      <c r="C355" s="99" t="s">
        <v>414</v>
      </c>
      <c r="D355" s="104" t="s">
        <v>415</v>
      </c>
      <c r="E355" s="104">
        <v>0.1</v>
      </c>
      <c r="F355" s="104">
        <v>16</v>
      </c>
      <c r="G355" s="105">
        <v>22.08</v>
      </c>
    </row>
    <row r="356" spans="3:7" x14ac:dyDescent="0.3">
      <c r="C356" s="99" t="s">
        <v>416</v>
      </c>
      <c r="D356" s="104" t="s">
        <v>417</v>
      </c>
      <c r="E356" s="104">
        <v>0.1</v>
      </c>
      <c r="F356" s="104">
        <v>11.972</v>
      </c>
      <c r="G356" s="105">
        <v>15.44</v>
      </c>
    </row>
    <row r="357" spans="3:7" x14ac:dyDescent="0.3">
      <c r="C357" s="106"/>
      <c r="D357" s="104" t="s">
        <v>418</v>
      </c>
      <c r="E357" s="104">
        <v>0.08</v>
      </c>
      <c r="F357" s="104">
        <v>7.91</v>
      </c>
      <c r="G357" s="105">
        <v>13.78</v>
      </c>
    </row>
    <row r="358" spans="3:7" x14ac:dyDescent="0.3">
      <c r="C358" s="106"/>
      <c r="D358" s="104" t="s">
        <v>419</v>
      </c>
      <c r="E358" s="104">
        <v>0.17</v>
      </c>
      <c r="F358" s="104">
        <v>15</v>
      </c>
      <c r="G358" s="105">
        <v>11.74</v>
      </c>
    </row>
    <row r="359" spans="3:7" x14ac:dyDescent="0.3">
      <c r="C359" s="106"/>
      <c r="D359" s="104" t="s">
        <v>420</v>
      </c>
      <c r="E359" s="104">
        <v>0.18</v>
      </c>
      <c r="F359" s="104">
        <v>39.6</v>
      </c>
      <c r="G359" s="105">
        <v>28.95</v>
      </c>
    </row>
    <row r="360" spans="3:7" x14ac:dyDescent="0.3">
      <c r="C360" s="106"/>
      <c r="D360" s="104" t="s">
        <v>421</v>
      </c>
      <c r="E360" s="104">
        <v>0.06</v>
      </c>
      <c r="F360" s="104">
        <v>8.5</v>
      </c>
      <c r="G360" s="105">
        <v>17.64</v>
      </c>
    </row>
    <row r="361" spans="3:7" x14ac:dyDescent="0.3">
      <c r="C361" s="106"/>
      <c r="D361" s="104" t="s">
        <v>422</v>
      </c>
      <c r="E361" s="104">
        <v>0.32</v>
      </c>
      <c r="F361" s="104">
        <v>50</v>
      </c>
      <c r="G361" s="105">
        <v>20.81</v>
      </c>
    </row>
    <row r="362" spans="3:7" x14ac:dyDescent="0.3">
      <c r="C362" s="106"/>
      <c r="D362" s="102" t="s">
        <v>423</v>
      </c>
      <c r="E362" s="102">
        <v>0.28999999999999998</v>
      </c>
      <c r="F362" s="102">
        <v>68.8</v>
      </c>
      <c r="G362" s="103">
        <v>31.35</v>
      </c>
    </row>
    <row r="363" spans="3:7" x14ac:dyDescent="0.3">
      <c r="C363" s="106"/>
      <c r="D363" s="104" t="s">
        <v>424</v>
      </c>
      <c r="E363" s="104">
        <v>0.02</v>
      </c>
      <c r="F363" s="104">
        <v>4.2</v>
      </c>
      <c r="G363" s="105">
        <v>26.19</v>
      </c>
    </row>
    <row r="364" spans="3:7" x14ac:dyDescent="0.3">
      <c r="C364" s="106"/>
      <c r="D364" s="104" t="s">
        <v>425</v>
      </c>
      <c r="E364" s="104">
        <v>0.05</v>
      </c>
      <c r="F364" s="104">
        <v>5</v>
      </c>
      <c r="G364" s="105">
        <v>12.45</v>
      </c>
    </row>
    <row r="365" spans="3:7" x14ac:dyDescent="0.3">
      <c r="C365" s="106"/>
      <c r="D365" s="104" t="s">
        <v>426</v>
      </c>
      <c r="E365" s="104">
        <v>0.02</v>
      </c>
      <c r="F365" s="104">
        <v>2.15</v>
      </c>
      <c r="G365" s="105">
        <v>18.03</v>
      </c>
    </row>
    <row r="366" spans="3:7" x14ac:dyDescent="0.3">
      <c r="C366" s="106"/>
      <c r="D366" s="104" t="s">
        <v>407</v>
      </c>
      <c r="E366" s="104">
        <v>0.02</v>
      </c>
      <c r="F366" s="104">
        <v>2.5</v>
      </c>
      <c r="G366" s="105">
        <v>15.39</v>
      </c>
    </row>
    <row r="367" spans="3:7" x14ac:dyDescent="0.3">
      <c r="C367" s="106"/>
      <c r="D367" s="104" t="s">
        <v>427</v>
      </c>
      <c r="E367" s="104">
        <v>0.01</v>
      </c>
      <c r="F367" s="104">
        <v>0.75</v>
      </c>
      <c r="G367" s="105">
        <v>8.08</v>
      </c>
    </row>
    <row r="368" spans="3:7" x14ac:dyDescent="0.3">
      <c r="C368" s="106"/>
      <c r="D368" s="104" t="s">
        <v>408</v>
      </c>
      <c r="E368" s="104">
        <v>0.03</v>
      </c>
      <c r="F368" s="104">
        <v>1.6</v>
      </c>
      <c r="G368" s="105">
        <v>6.76</v>
      </c>
    </row>
    <row r="369" spans="3:7" x14ac:dyDescent="0.3">
      <c r="C369" s="106"/>
      <c r="D369" s="104" t="s">
        <v>428</v>
      </c>
      <c r="E369" s="104">
        <v>0</v>
      </c>
      <c r="F369" s="104">
        <v>1.125</v>
      </c>
      <c r="G369" s="105">
        <v>36.19</v>
      </c>
    </row>
    <row r="370" spans="3:7" x14ac:dyDescent="0.3">
      <c r="C370" s="106"/>
      <c r="D370" s="104" t="s">
        <v>429</v>
      </c>
      <c r="E370" s="104">
        <v>0.01</v>
      </c>
      <c r="F370" s="104">
        <v>1.25</v>
      </c>
      <c r="G370" s="105">
        <v>16.649999999999999</v>
      </c>
    </row>
    <row r="371" spans="3:7" x14ac:dyDescent="0.3">
      <c r="C371" s="106"/>
      <c r="D371" s="104" t="s">
        <v>430</v>
      </c>
      <c r="E371" s="104">
        <v>0.02</v>
      </c>
      <c r="F371" s="104">
        <v>1.75</v>
      </c>
      <c r="G371" s="105">
        <v>12.41</v>
      </c>
    </row>
    <row r="372" spans="3:7" x14ac:dyDescent="0.3">
      <c r="C372" s="106"/>
      <c r="D372" s="104" t="s">
        <v>409</v>
      </c>
      <c r="E372" s="104">
        <v>0.14000000000000001</v>
      </c>
      <c r="F372" s="104">
        <v>20</v>
      </c>
      <c r="G372" s="105">
        <v>19.559999999999999</v>
      </c>
    </row>
    <row r="373" spans="3:7" x14ac:dyDescent="0.3">
      <c r="C373" s="106"/>
      <c r="D373" s="104" t="s">
        <v>431</v>
      </c>
      <c r="E373" s="104">
        <v>0.03</v>
      </c>
      <c r="F373" s="104">
        <v>2.25</v>
      </c>
      <c r="G373" s="105">
        <v>10.54</v>
      </c>
    </row>
    <row r="374" spans="3:7" x14ac:dyDescent="0.3">
      <c r="C374" s="106"/>
      <c r="D374" s="104" t="s">
        <v>432</v>
      </c>
      <c r="E374" s="104">
        <v>0.03</v>
      </c>
      <c r="F374" s="104">
        <v>2.2000000000000002</v>
      </c>
      <c r="G374" s="105">
        <v>10.51</v>
      </c>
    </row>
    <row r="375" spans="3:7" x14ac:dyDescent="0.3">
      <c r="C375" s="106"/>
      <c r="D375" s="104" t="s">
        <v>433</v>
      </c>
      <c r="E375" s="104">
        <v>0.04</v>
      </c>
      <c r="F375" s="104">
        <v>4.5</v>
      </c>
      <c r="G375" s="105">
        <v>15.75</v>
      </c>
    </row>
    <row r="376" spans="3:7" x14ac:dyDescent="0.3">
      <c r="C376" s="106"/>
      <c r="D376" s="104" t="s">
        <v>410</v>
      </c>
      <c r="E376" s="104">
        <v>0.01</v>
      </c>
      <c r="F376" s="104">
        <v>0.5</v>
      </c>
      <c r="G376" s="105">
        <v>10.33</v>
      </c>
    </row>
    <row r="377" spans="3:7" x14ac:dyDescent="0.3">
      <c r="C377" s="106"/>
      <c r="D377" s="104" t="s">
        <v>434</v>
      </c>
      <c r="E377" s="104">
        <v>0.01</v>
      </c>
      <c r="F377" s="104">
        <v>1.25</v>
      </c>
      <c r="G377" s="105">
        <v>13.77</v>
      </c>
    </row>
    <row r="378" spans="3:7" x14ac:dyDescent="0.3">
      <c r="C378" s="106"/>
      <c r="D378" s="104" t="s">
        <v>435</v>
      </c>
      <c r="E378" s="104">
        <v>0.02</v>
      </c>
      <c r="F378" s="104">
        <v>2</v>
      </c>
      <c r="G378" s="105">
        <v>10.72</v>
      </c>
    </row>
    <row r="379" spans="3:7" x14ac:dyDescent="0.3">
      <c r="C379" s="106"/>
      <c r="D379" s="104" t="s">
        <v>436</v>
      </c>
      <c r="E379" s="104">
        <v>0.02</v>
      </c>
      <c r="F379" s="104">
        <v>1.875</v>
      </c>
      <c r="G379" s="105">
        <v>12.86</v>
      </c>
    </row>
    <row r="380" spans="3:7" x14ac:dyDescent="0.3">
      <c r="C380" s="106"/>
      <c r="D380" s="104" t="s">
        <v>437</v>
      </c>
      <c r="E380" s="104">
        <v>0.01</v>
      </c>
      <c r="F380" s="104">
        <v>1.25</v>
      </c>
      <c r="G380" s="105">
        <v>11.89</v>
      </c>
    </row>
    <row r="381" spans="3:7" x14ac:dyDescent="0.3">
      <c r="C381" s="106"/>
      <c r="D381" s="104" t="s">
        <v>438</v>
      </c>
      <c r="E381" s="104">
        <v>0.01</v>
      </c>
      <c r="F381" s="104">
        <v>1.25</v>
      </c>
      <c r="G381" s="105">
        <v>11.38</v>
      </c>
    </row>
    <row r="382" spans="3:7" x14ac:dyDescent="0.3">
      <c r="C382" s="106"/>
      <c r="D382" s="104" t="s">
        <v>439</v>
      </c>
      <c r="E382" s="104">
        <v>0.19</v>
      </c>
      <c r="F382" s="104">
        <v>21</v>
      </c>
      <c r="G382" s="105">
        <v>14.38</v>
      </c>
    </row>
    <row r="383" spans="3:7" x14ac:dyDescent="0.3">
      <c r="C383" s="106"/>
      <c r="D383" s="104" t="s">
        <v>440</v>
      </c>
      <c r="E383" s="104">
        <v>0.03</v>
      </c>
      <c r="F383" s="104">
        <v>2.5</v>
      </c>
      <c r="G383" s="105">
        <v>11.51</v>
      </c>
    </row>
    <row r="384" spans="3:7" x14ac:dyDescent="0.3">
      <c r="C384" s="106"/>
      <c r="D384" s="100" t="s">
        <v>441</v>
      </c>
      <c r="E384" s="100">
        <v>0</v>
      </c>
      <c r="F384" s="100">
        <v>0.4</v>
      </c>
      <c r="G384" s="101">
        <v>17.399999999999999</v>
      </c>
    </row>
    <row r="385" spans="3:7" x14ac:dyDescent="0.3">
      <c r="C385" s="106"/>
      <c r="D385" s="104" t="s">
        <v>442</v>
      </c>
      <c r="E385" s="104">
        <v>0.13</v>
      </c>
      <c r="F385" s="104">
        <v>7</v>
      </c>
      <c r="G385" s="105">
        <v>7.37</v>
      </c>
    </row>
    <row r="386" spans="3:7" x14ac:dyDescent="0.3">
      <c r="C386" s="107"/>
      <c r="D386" s="108" t="s">
        <v>443</v>
      </c>
      <c r="E386" s="108">
        <v>0.31</v>
      </c>
      <c r="F386" s="108">
        <v>17</v>
      </c>
      <c r="G386" s="109">
        <v>7.37</v>
      </c>
    </row>
    <row r="390" spans="3:7" x14ac:dyDescent="0.3">
      <c r="C390" s="96" t="s">
        <v>444</v>
      </c>
      <c r="D390" s="97" t="s">
        <v>117</v>
      </c>
      <c r="E390" s="97" t="s">
        <v>14</v>
      </c>
      <c r="F390" s="97" t="s">
        <v>15</v>
      </c>
      <c r="G390" s="98" t="s">
        <v>118</v>
      </c>
    </row>
    <row r="391" spans="3:7" x14ac:dyDescent="0.3">
      <c r="C391" s="99" t="s">
        <v>445</v>
      </c>
      <c r="D391" s="104" t="s">
        <v>446</v>
      </c>
      <c r="E391" s="104">
        <v>0.1</v>
      </c>
      <c r="F391" s="104">
        <v>20</v>
      </c>
      <c r="G391" s="105">
        <v>26.31</v>
      </c>
    </row>
    <row r="392" spans="3:7" x14ac:dyDescent="0.3">
      <c r="C392" s="99" t="s">
        <v>447</v>
      </c>
      <c r="D392" s="104" t="s">
        <v>448</v>
      </c>
      <c r="E392" s="104">
        <v>0.03</v>
      </c>
      <c r="F392" s="104">
        <v>6.8339999999999996</v>
      </c>
      <c r="G392" s="105">
        <v>30.28</v>
      </c>
    </row>
    <row r="393" spans="3:7" x14ac:dyDescent="0.3">
      <c r="C393" s="99" t="s">
        <v>449</v>
      </c>
      <c r="D393" s="104" t="s">
        <v>450</v>
      </c>
      <c r="E393" s="104">
        <v>7.0000000000000007E-2</v>
      </c>
      <c r="F393" s="104">
        <v>7</v>
      </c>
      <c r="G393" s="105">
        <v>12.98</v>
      </c>
    </row>
    <row r="394" spans="3:7" x14ac:dyDescent="0.3">
      <c r="C394" s="106"/>
      <c r="D394" s="104" t="s">
        <v>451</v>
      </c>
      <c r="E394" s="104">
        <v>0.03</v>
      </c>
      <c r="F394" s="104">
        <v>4</v>
      </c>
      <c r="G394" s="105">
        <v>18.02</v>
      </c>
    </row>
    <row r="395" spans="3:7" x14ac:dyDescent="0.3">
      <c r="C395" s="106"/>
      <c r="D395" s="102" t="s">
        <v>393</v>
      </c>
      <c r="E395" s="102">
        <v>0.64</v>
      </c>
      <c r="F395" s="102">
        <v>69.477000000000004</v>
      </c>
      <c r="G395" s="103">
        <v>14.55</v>
      </c>
    </row>
    <row r="396" spans="3:7" x14ac:dyDescent="0.3">
      <c r="C396" s="106"/>
      <c r="D396" s="104" t="s">
        <v>452</v>
      </c>
      <c r="E396" s="104">
        <v>0.23</v>
      </c>
      <c r="F396" s="104">
        <v>25</v>
      </c>
      <c r="G396" s="105">
        <v>14.55</v>
      </c>
    </row>
    <row r="397" spans="3:7" x14ac:dyDescent="0.3">
      <c r="C397" s="106"/>
      <c r="D397" s="104" t="s">
        <v>397</v>
      </c>
      <c r="E397" s="104">
        <v>0.37</v>
      </c>
      <c r="F397" s="104">
        <v>50</v>
      </c>
      <c r="G397" s="105">
        <v>18.18</v>
      </c>
    </row>
    <row r="398" spans="3:7" x14ac:dyDescent="0.3">
      <c r="C398" s="106"/>
      <c r="D398" s="104" t="s">
        <v>453</v>
      </c>
      <c r="E398" s="104">
        <v>0.15</v>
      </c>
      <c r="F398" s="104">
        <v>24</v>
      </c>
      <c r="G398" s="105">
        <v>21.17</v>
      </c>
    </row>
    <row r="399" spans="3:7" x14ac:dyDescent="0.3">
      <c r="C399" s="106"/>
      <c r="D399" s="104" t="s">
        <v>454</v>
      </c>
      <c r="E399" s="104">
        <v>0.28999999999999998</v>
      </c>
      <c r="F399" s="104">
        <v>50</v>
      </c>
      <c r="G399" s="105">
        <v>23.34</v>
      </c>
    </row>
    <row r="400" spans="3:7" x14ac:dyDescent="0.3">
      <c r="C400" s="106"/>
      <c r="D400" s="104" t="s">
        <v>455</v>
      </c>
      <c r="E400" s="104">
        <v>0.11</v>
      </c>
      <c r="F400" s="104">
        <v>19.73</v>
      </c>
      <c r="G400" s="105">
        <v>23.04</v>
      </c>
    </row>
    <row r="401" spans="3:7" x14ac:dyDescent="0.3">
      <c r="C401" s="106"/>
      <c r="D401" s="104" t="s">
        <v>456</v>
      </c>
      <c r="E401" s="104">
        <v>0.14000000000000001</v>
      </c>
      <c r="F401" s="104">
        <v>25</v>
      </c>
      <c r="G401" s="105">
        <v>24.11</v>
      </c>
    </row>
    <row r="402" spans="3:7" x14ac:dyDescent="0.3">
      <c r="C402" s="106"/>
      <c r="D402" s="104" t="s">
        <v>457</v>
      </c>
      <c r="E402" s="104">
        <v>0.12</v>
      </c>
      <c r="F402" s="104">
        <v>20</v>
      </c>
      <c r="G402" s="105">
        <v>23.18</v>
      </c>
    </row>
    <row r="403" spans="3:7" x14ac:dyDescent="0.3">
      <c r="C403" s="106"/>
      <c r="D403" s="104" t="s">
        <v>424</v>
      </c>
      <c r="E403" s="104">
        <v>0.13</v>
      </c>
      <c r="F403" s="104">
        <v>25.2</v>
      </c>
      <c r="G403" s="105">
        <v>26.19</v>
      </c>
    </row>
    <row r="404" spans="3:7" x14ac:dyDescent="0.3">
      <c r="C404" s="106"/>
      <c r="D404" s="104" t="s">
        <v>425</v>
      </c>
      <c r="E404" s="104">
        <v>0.05</v>
      </c>
      <c r="F404" s="104">
        <v>5</v>
      </c>
      <c r="G404" s="105">
        <v>12.45</v>
      </c>
    </row>
    <row r="405" spans="3:7" x14ac:dyDescent="0.3">
      <c r="C405" s="106"/>
      <c r="D405" s="104" t="s">
        <v>426</v>
      </c>
      <c r="E405" s="104">
        <v>0.02</v>
      </c>
      <c r="F405" s="104">
        <v>2.15</v>
      </c>
      <c r="G405" s="105">
        <v>18.03</v>
      </c>
    </row>
    <row r="406" spans="3:7" x14ac:dyDescent="0.3">
      <c r="C406" s="106"/>
      <c r="D406" s="104" t="s">
        <v>407</v>
      </c>
      <c r="E406" s="104">
        <v>0.02</v>
      </c>
      <c r="F406" s="104">
        <v>2.5</v>
      </c>
      <c r="G406" s="105">
        <v>15.39</v>
      </c>
    </row>
    <row r="407" spans="3:7" x14ac:dyDescent="0.3">
      <c r="C407" s="106"/>
      <c r="D407" s="104" t="s">
        <v>427</v>
      </c>
      <c r="E407" s="104">
        <v>0.01</v>
      </c>
      <c r="F407" s="104">
        <v>0.75</v>
      </c>
      <c r="G407" s="105">
        <v>8.08</v>
      </c>
    </row>
    <row r="408" spans="3:7" x14ac:dyDescent="0.3">
      <c r="C408" s="106"/>
      <c r="D408" s="104" t="s">
        <v>408</v>
      </c>
      <c r="E408" s="104">
        <v>0.03</v>
      </c>
      <c r="F408" s="104">
        <v>1.6</v>
      </c>
      <c r="G408" s="105">
        <v>6.76</v>
      </c>
    </row>
    <row r="409" spans="3:7" x14ac:dyDescent="0.3">
      <c r="C409" s="106"/>
      <c r="D409" s="104" t="s">
        <v>428</v>
      </c>
      <c r="E409" s="104">
        <v>0</v>
      </c>
      <c r="F409" s="104">
        <v>1.125</v>
      </c>
      <c r="G409" s="105">
        <v>36.19</v>
      </c>
    </row>
    <row r="410" spans="3:7" x14ac:dyDescent="0.3">
      <c r="C410" s="106"/>
      <c r="D410" s="104" t="s">
        <v>429</v>
      </c>
      <c r="E410" s="104">
        <v>0.01</v>
      </c>
      <c r="F410" s="104">
        <v>1.25</v>
      </c>
      <c r="G410" s="105">
        <v>16.649999999999999</v>
      </c>
    </row>
    <row r="411" spans="3:7" x14ac:dyDescent="0.3">
      <c r="C411" s="106"/>
      <c r="D411" s="104" t="s">
        <v>430</v>
      </c>
      <c r="E411" s="104">
        <v>0.02</v>
      </c>
      <c r="F411" s="104">
        <v>1.75</v>
      </c>
      <c r="G411" s="105">
        <v>12.41</v>
      </c>
    </row>
    <row r="412" spans="3:7" x14ac:dyDescent="0.3">
      <c r="C412" s="106"/>
      <c r="D412" s="104" t="s">
        <v>431</v>
      </c>
      <c r="E412" s="104">
        <v>0.03</v>
      </c>
      <c r="F412" s="104">
        <v>2.25</v>
      </c>
      <c r="G412" s="105">
        <v>10.54</v>
      </c>
    </row>
    <row r="413" spans="3:7" x14ac:dyDescent="0.3">
      <c r="C413" s="106"/>
      <c r="D413" s="104" t="s">
        <v>432</v>
      </c>
      <c r="E413" s="104">
        <v>0.03</v>
      </c>
      <c r="F413" s="104">
        <v>2.2000000000000002</v>
      </c>
      <c r="G413" s="105">
        <v>10.51</v>
      </c>
    </row>
    <row r="414" spans="3:7" x14ac:dyDescent="0.3">
      <c r="C414" s="106"/>
      <c r="D414" s="104" t="s">
        <v>433</v>
      </c>
      <c r="E414" s="104">
        <v>0.04</v>
      </c>
      <c r="F414" s="104">
        <v>4.5</v>
      </c>
      <c r="G414" s="105">
        <v>15.75</v>
      </c>
    </row>
    <row r="415" spans="3:7" x14ac:dyDescent="0.3">
      <c r="C415" s="106"/>
      <c r="D415" s="104" t="s">
        <v>410</v>
      </c>
      <c r="E415" s="104">
        <v>0.01</v>
      </c>
      <c r="F415" s="104">
        <v>0.5</v>
      </c>
      <c r="G415" s="105">
        <v>10.33</v>
      </c>
    </row>
    <row r="416" spans="3:7" x14ac:dyDescent="0.3">
      <c r="C416" s="106"/>
      <c r="D416" s="104" t="s">
        <v>434</v>
      </c>
      <c r="E416" s="104">
        <v>0.01</v>
      </c>
      <c r="F416" s="104">
        <v>1.25</v>
      </c>
      <c r="G416" s="105">
        <v>13.77</v>
      </c>
    </row>
    <row r="417" spans="3:7" x14ac:dyDescent="0.3">
      <c r="C417" s="106"/>
      <c r="D417" s="104" t="s">
        <v>435</v>
      </c>
      <c r="E417" s="104">
        <v>0.02</v>
      </c>
      <c r="F417" s="104">
        <v>2</v>
      </c>
      <c r="G417" s="105">
        <v>10.72</v>
      </c>
    </row>
    <row r="418" spans="3:7" x14ac:dyDescent="0.3">
      <c r="C418" s="106"/>
      <c r="D418" s="104" t="s">
        <v>436</v>
      </c>
      <c r="E418" s="104">
        <v>0.02</v>
      </c>
      <c r="F418" s="104">
        <v>1.875</v>
      </c>
      <c r="G418" s="105">
        <v>12.86</v>
      </c>
    </row>
    <row r="419" spans="3:7" x14ac:dyDescent="0.3">
      <c r="C419" s="106"/>
      <c r="D419" s="104" t="s">
        <v>437</v>
      </c>
      <c r="E419" s="104">
        <v>0.01</v>
      </c>
      <c r="F419" s="104">
        <v>1.25</v>
      </c>
      <c r="G419" s="105">
        <v>11.89</v>
      </c>
    </row>
    <row r="420" spans="3:7" x14ac:dyDescent="0.3">
      <c r="C420" s="106"/>
      <c r="D420" s="104" t="s">
        <v>438</v>
      </c>
      <c r="E420" s="104">
        <v>0.01</v>
      </c>
      <c r="F420" s="104">
        <v>1.25</v>
      </c>
      <c r="G420" s="105">
        <v>11.38</v>
      </c>
    </row>
    <row r="421" spans="3:7" x14ac:dyDescent="0.3">
      <c r="C421" s="106"/>
      <c r="D421" s="104" t="s">
        <v>440</v>
      </c>
      <c r="E421" s="104">
        <v>0.03</v>
      </c>
      <c r="F421" s="104">
        <v>2.5</v>
      </c>
      <c r="G421" s="105">
        <v>11.51</v>
      </c>
    </row>
    <row r="422" spans="3:7" x14ac:dyDescent="0.3">
      <c r="C422" s="106"/>
      <c r="D422" s="100" t="s">
        <v>441</v>
      </c>
      <c r="E422" s="100">
        <v>0</v>
      </c>
      <c r="F422" s="100">
        <v>0.4</v>
      </c>
      <c r="G422" s="101">
        <v>17.399999999999999</v>
      </c>
    </row>
    <row r="423" spans="3:7" x14ac:dyDescent="0.3">
      <c r="C423" s="107"/>
      <c r="D423" s="108" t="s">
        <v>458</v>
      </c>
      <c r="E423" s="108">
        <v>0.04</v>
      </c>
      <c r="F423" s="108">
        <v>4</v>
      </c>
      <c r="G423" s="109">
        <v>14.02</v>
      </c>
    </row>
    <row r="427" spans="3:7" x14ac:dyDescent="0.3">
      <c r="C427" s="96" t="s">
        <v>459</v>
      </c>
      <c r="D427" s="97" t="s">
        <v>117</v>
      </c>
      <c r="E427" s="97" t="s">
        <v>14</v>
      </c>
      <c r="F427" s="97" t="s">
        <v>15</v>
      </c>
      <c r="G427" s="98" t="s">
        <v>118</v>
      </c>
    </row>
    <row r="428" spans="3:7" x14ac:dyDescent="0.3">
      <c r="C428" s="99" t="s">
        <v>460</v>
      </c>
      <c r="D428" s="104" t="s">
        <v>461</v>
      </c>
      <c r="E428" s="104">
        <v>0.16</v>
      </c>
      <c r="F428" s="104">
        <v>23.54</v>
      </c>
      <c r="G428" s="105">
        <v>19.23</v>
      </c>
    </row>
    <row r="429" spans="3:7" x14ac:dyDescent="0.3">
      <c r="C429" s="99" t="s">
        <v>462</v>
      </c>
      <c r="D429" s="104" t="s">
        <v>463</v>
      </c>
      <c r="E429" s="104">
        <v>0.06</v>
      </c>
      <c r="F429" s="104">
        <v>8.5649999999999995</v>
      </c>
      <c r="G429" s="105">
        <v>19.79</v>
      </c>
    </row>
    <row r="430" spans="3:7" x14ac:dyDescent="0.3">
      <c r="C430" s="99" t="s">
        <v>464</v>
      </c>
      <c r="D430" s="104" t="s">
        <v>465</v>
      </c>
      <c r="E430" s="104">
        <v>0.13</v>
      </c>
      <c r="F430" s="104">
        <v>20</v>
      </c>
      <c r="G430" s="105">
        <v>19.989999999999998</v>
      </c>
    </row>
    <row r="431" spans="3:7" x14ac:dyDescent="0.3">
      <c r="C431" s="106"/>
      <c r="D431" s="104" t="s">
        <v>392</v>
      </c>
      <c r="E431" s="104">
        <v>0.19</v>
      </c>
      <c r="F431" s="104">
        <v>25</v>
      </c>
      <c r="G431" s="105">
        <v>18.010000000000002</v>
      </c>
    </row>
    <row r="432" spans="3:7" x14ac:dyDescent="0.3">
      <c r="C432" s="106"/>
      <c r="D432" s="104" t="s">
        <v>466</v>
      </c>
      <c r="E432" s="104">
        <v>0.15</v>
      </c>
      <c r="F432" s="104">
        <v>25</v>
      </c>
      <c r="G432" s="105">
        <v>22.36</v>
      </c>
    </row>
    <row r="433" spans="3:7" x14ac:dyDescent="0.3">
      <c r="C433" s="106"/>
      <c r="D433" s="104" t="s">
        <v>467</v>
      </c>
      <c r="E433" s="104">
        <v>0.15</v>
      </c>
      <c r="F433" s="104">
        <v>25</v>
      </c>
      <c r="G433" s="105">
        <v>22.36</v>
      </c>
    </row>
    <row r="434" spans="3:7" x14ac:dyDescent="0.3">
      <c r="C434" s="106"/>
      <c r="D434" s="104" t="s">
        <v>468</v>
      </c>
      <c r="E434" s="104">
        <v>0.36</v>
      </c>
      <c r="F434" s="104">
        <v>40</v>
      </c>
      <c r="G434" s="105">
        <v>14.83</v>
      </c>
    </row>
    <row r="435" spans="3:7" x14ac:dyDescent="0.3">
      <c r="C435" s="106"/>
      <c r="D435" s="104" t="s">
        <v>469</v>
      </c>
      <c r="E435" s="104">
        <v>0.14000000000000001</v>
      </c>
      <c r="F435" s="104">
        <v>19.765000000000001</v>
      </c>
      <c r="G435" s="105">
        <v>18.88</v>
      </c>
    </row>
    <row r="436" spans="3:7" x14ac:dyDescent="0.3">
      <c r="C436" s="106"/>
      <c r="D436" s="104" t="s">
        <v>470</v>
      </c>
      <c r="E436" s="104">
        <v>0.25</v>
      </c>
      <c r="F436" s="104">
        <v>25</v>
      </c>
      <c r="G436" s="105">
        <v>13.52</v>
      </c>
    </row>
    <row r="437" spans="3:7" x14ac:dyDescent="0.3">
      <c r="C437" s="106"/>
      <c r="D437" s="104" t="s">
        <v>453</v>
      </c>
      <c r="E437" s="104">
        <v>0.31</v>
      </c>
      <c r="F437" s="104">
        <v>50</v>
      </c>
      <c r="G437" s="105">
        <v>21.17</v>
      </c>
    </row>
    <row r="438" spans="3:7" x14ac:dyDescent="0.3">
      <c r="C438" s="106"/>
      <c r="D438" s="104" t="s">
        <v>471</v>
      </c>
      <c r="E438" s="104">
        <v>0.18</v>
      </c>
      <c r="F438" s="104">
        <v>25</v>
      </c>
      <c r="G438" s="105">
        <v>18.13</v>
      </c>
    </row>
    <row r="439" spans="3:7" x14ac:dyDescent="0.3">
      <c r="C439" s="106"/>
      <c r="D439" s="104" t="s">
        <v>420</v>
      </c>
      <c r="E439" s="104">
        <v>0.2</v>
      </c>
      <c r="F439" s="104">
        <v>43.2</v>
      </c>
      <c r="G439" s="105">
        <v>28.95</v>
      </c>
    </row>
    <row r="440" spans="3:7" x14ac:dyDescent="0.3">
      <c r="C440" s="106"/>
      <c r="D440" s="104" t="s">
        <v>421</v>
      </c>
      <c r="E440" s="104">
        <v>0.14000000000000001</v>
      </c>
      <c r="F440" s="104">
        <v>18.7</v>
      </c>
      <c r="G440" s="105">
        <v>17.64</v>
      </c>
    </row>
    <row r="441" spans="3:7" x14ac:dyDescent="0.3">
      <c r="C441" s="106"/>
      <c r="D441" s="104" t="s">
        <v>454</v>
      </c>
      <c r="E441" s="104">
        <v>0.28999999999999998</v>
      </c>
      <c r="F441" s="104">
        <v>50</v>
      </c>
      <c r="G441" s="105">
        <v>23.34</v>
      </c>
    </row>
    <row r="442" spans="3:7" x14ac:dyDescent="0.3">
      <c r="C442" s="106"/>
      <c r="D442" s="104" t="s">
        <v>455</v>
      </c>
      <c r="E442" s="104">
        <v>0.1</v>
      </c>
      <c r="F442" s="104">
        <v>18</v>
      </c>
      <c r="G442" s="105">
        <v>23.04</v>
      </c>
    </row>
    <row r="443" spans="3:7" x14ac:dyDescent="0.3">
      <c r="C443" s="106"/>
      <c r="D443" s="104" t="s">
        <v>457</v>
      </c>
      <c r="E443" s="104">
        <v>0.23</v>
      </c>
      <c r="F443" s="104">
        <v>40</v>
      </c>
      <c r="G443" s="105">
        <v>23.18</v>
      </c>
    </row>
    <row r="444" spans="3:7" x14ac:dyDescent="0.3">
      <c r="C444" s="106"/>
      <c r="D444" s="104" t="s">
        <v>422</v>
      </c>
      <c r="E444" s="104">
        <v>0.48</v>
      </c>
      <c r="F444" s="104">
        <v>75</v>
      </c>
      <c r="G444" s="105">
        <v>20.81</v>
      </c>
    </row>
    <row r="445" spans="3:7" x14ac:dyDescent="0.3">
      <c r="C445" s="106"/>
      <c r="D445" s="104" t="s">
        <v>423</v>
      </c>
      <c r="E445" s="104">
        <v>0.27</v>
      </c>
      <c r="F445" s="104">
        <v>64.5</v>
      </c>
      <c r="G445" s="105">
        <v>31.35</v>
      </c>
    </row>
    <row r="446" spans="3:7" x14ac:dyDescent="0.3">
      <c r="C446" s="106"/>
      <c r="D446" s="104" t="s">
        <v>424</v>
      </c>
      <c r="E446" s="104">
        <v>0.09</v>
      </c>
      <c r="F446" s="104">
        <v>16.8</v>
      </c>
      <c r="G446" s="105">
        <v>26.19</v>
      </c>
    </row>
    <row r="447" spans="3:7" x14ac:dyDescent="0.3">
      <c r="C447" s="106"/>
      <c r="D447" s="104" t="s">
        <v>472</v>
      </c>
      <c r="E447" s="104">
        <v>0.12</v>
      </c>
      <c r="F447" s="104">
        <v>18</v>
      </c>
      <c r="G447" s="105">
        <v>19.36</v>
      </c>
    </row>
    <row r="448" spans="3:7" x14ac:dyDescent="0.3">
      <c r="C448" s="106"/>
      <c r="D448" s="104" t="s">
        <v>425</v>
      </c>
      <c r="E448" s="104">
        <v>0.02</v>
      </c>
      <c r="F448" s="104">
        <v>2</v>
      </c>
      <c r="G448" s="105">
        <v>12.45</v>
      </c>
    </row>
    <row r="449" spans="3:7" x14ac:dyDescent="0.3">
      <c r="C449" s="106"/>
      <c r="D449" s="104" t="s">
        <v>473</v>
      </c>
      <c r="E449" s="104">
        <v>0.01</v>
      </c>
      <c r="F449" s="104">
        <v>0.9</v>
      </c>
      <c r="G449" s="105">
        <v>19.52</v>
      </c>
    </row>
    <row r="450" spans="3:7" x14ac:dyDescent="0.3">
      <c r="C450" s="106"/>
      <c r="D450" s="104" t="s">
        <v>426</v>
      </c>
      <c r="E450" s="104">
        <v>0.01</v>
      </c>
      <c r="F450" s="104">
        <v>1.72</v>
      </c>
      <c r="G450" s="105">
        <v>18.03</v>
      </c>
    </row>
    <row r="451" spans="3:7" x14ac:dyDescent="0.3">
      <c r="C451" s="106"/>
      <c r="D451" s="104" t="s">
        <v>407</v>
      </c>
      <c r="E451" s="104">
        <v>0.02</v>
      </c>
      <c r="F451" s="104">
        <v>2</v>
      </c>
      <c r="G451" s="105">
        <v>15.39</v>
      </c>
    </row>
    <row r="452" spans="3:7" x14ac:dyDescent="0.3">
      <c r="C452" s="106"/>
      <c r="D452" s="104" t="s">
        <v>427</v>
      </c>
      <c r="E452" s="104">
        <v>0.02</v>
      </c>
      <c r="F452" s="104">
        <v>1.2</v>
      </c>
      <c r="G452" s="105">
        <v>8.08</v>
      </c>
    </row>
    <row r="453" spans="3:7" x14ac:dyDescent="0.3">
      <c r="C453" s="106"/>
      <c r="D453" s="104" t="s">
        <v>408</v>
      </c>
      <c r="E453" s="104">
        <v>0.04</v>
      </c>
      <c r="F453" s="104">
        <v>1.92</v>
      </c>
      <c r="G453" s="105">
        <v>6.76</v>
      </c>
    </row>
    <row r="454" spans="3:7" x14ac:dyDescent="0.3">
      <c r="C454" s="106"/>
      <c r="D454" s="104" t="s">
        <v>428</v>
      </c>
      <c r="E454" s="104">
        <v>0</v>
      </c>
      <c r="F454" s="104">
        <v>0.9</v>
      </c>
      <c r="G454" s="105">
        <v>36.19</v>
      </c>
    </row>
    <row r="455" spans="3:7" x14ac:dyDescent="0.3">
      <c r="C455" s="106"/>
      <c r="D455" s="104" t="s">
        <v>429</v>
      </c>
      <c r="E455" s="104">
        <v>0.01</v>
      </c>
      <c r="F455" s="104">
        <v>1</v>
      </c>
      <c r="G455" s="105">
        <v>16.649999999999999</v>
      </c>
    </row>
    <row r="456" spans="3:7" x14ac:dyDescent="0.3">
      <c r="C456" s="106"/>
      <c r="D456" s="104" t="s">
        <v>430</v>
      </c>
      <c r="E456" s="104">
        <v>0.02</v>
      </c>
      <c r="F456" s="104">
        <v>2.1</v>
      </c>
      <c r="G456" s="105">
        <v>12.41</v>
      </c>
    </row>
    <row r="457" spans="3:7" x14ac:dyDescent="0.3">
      <c r="C457" s="106"/>
      <c r="D457" s="104" t="s">
        <v>474</v>
      </c>
      <c r="E457" s="104">
        <v>0.42</v>
      </c>
      <c r="F457" s="104">
        <v>27</v>
      </c>
      <c r="G457" s="105">
        <v>8.61</v>
      </c>
    </row>
    <row r="458" spans="3:7" x14ac:dyDescent="0.3">
      <c r="C458" s="106"/>
      <c r="D458" s="102" t="s">
        <v>409</v>
      </c>
      <c r="E458" s="102">
        <v>0.68</v>
      </c>
      <c r="F458" s="102">
        <v>100</v>
      </c>
      <c r="G458" s="103">
        <v>19.559999999999999</v>
      </c>
    </row>
    <row r="459" spans="3:7" x14ac:dyDescent="0.3">
      <c r="C459" s="106"/>
      <c r="D459" s="104" t="s">
        <v>431</v>
      </c>
      <c r="E459" s="104">
        <v>0.02</v>
      </c>
      <c r="F459" s="104">
        <v>1.8</v>
      </c>
      <c r="G459" s="105">
        <v>10.54</v>
      </c>
    </row>
    <row r="460" spans="3:7" x14ac:dyDescent="0.3">
      <c r="C460" s="106"/>
      <c r="D460" s="104" t="s">
        <v>432</v>
      </c>
      <c r="E460" s="104">
        <v>0.03</v>
      </c>
      <c r="F460" s="104">
        <v>2.64</v>
      </c>
      <c r="G460" s="105">
        <v>10.51</v>
      </c>
    </row>
    <row r="461" spans="3:7" x14ac:dyDescent="0.3">
      <c r="C461" s="106"/>
      <c r="D461" s="104" t="s">
        <v>475</v>
      </c>
      <c r="E461" s="104">
        <v>0.03</v>
      </c>
      <c r="F461" s="104">
        <v>2</v>
      </c>
      <c r="G461" s="105">
        <v>8.93</v>
      </c>
    </row>
    <row r="462" spans="3:7" x14ac:dyDescent="0.3">
      <c r="C462" s="106"/>
      <c r="D462" s="104" t="s">
        <v>433</v>
      </c>
      <c r="E462" s="104">
        <v>0.03</v>
      </c>
      <c r="F462" s="104">
        <v>3.6</v>
      </c>
      <c r="G462" s="105">
        <v>15.75</v>
      </c>
    </row>
    <row r="463" spans="3:7" x14ac:dyDescent="0.3">
      <c r="C463" s="106"/>
      <c r="D463" s="104" t="s">
        <v>410</v>
      </c>
      <c r="E463" s="104">
        <v>0.01</v>
      </c>
      <c r="F463" s="104">
        <v>0.4</v>
      </c>
      <c r="G463" s="105">
        <v>10.33</v>
      </c>
    </row>
    <row r="464" spans="3:7" x14ac:dyDescent="0.3">
      <c r="C464" s="106"/>
      <c r="D464" s="104" t="s">
        <v>434</v>
      </c>
      <c r="E464" s="104">
        <v>0.02</v>
      </c>
      <c r="F464" s="104">
        <v>2</v>
      </c>
      <c r="G464" s="105">
        <v>13.77</v>
      </c>
    </row>
    <row r="465" spans="3:7" x14ac:dyDescent="0.3">
      <c r="C465" s="106"/>
      <c r="D465" s="104" t="s">
        <v>435</v>
      </c>
      <c r="E465" s="104">
        <v>0.04</v>
      </c>
      <c r="F465" s="104">
        <v>3.2</v>
      </c>
      <c r="G465" s="105">
        <v>10.72</v>
      </c>
    </row>
    <row r="466" spans="3:7" x14ac:dyDescent="0.3">
      <c r="C466" s="106"/>
      <c r="D466" s="104" t="s">
        <v>436</v>
      </c>
      <c r="E466" s="104">
        <v>0.02</v>
      </c>
      <c r="F466" s="104">
        <v>1.5</v>
      </c>
      <c r="G466" s="105">
        <v>12.86</v>
      </c>
    </row>
    <row r="467" spans="3:7" x14ac:dyDescent="0.3">
      <c r="C467" s="106"/>
      <c r="D467" s="104" t="s">
        <v>437</v>
      </c>
      <c r="E467" s="104">
        <v>0.01</v>
      </c>
      <c r="F467" s="104">
        <v>1</v>
      </c>
      <c r="G467" s="105">
        <v>11.89</v>
      </c>
    </row>
    <row r="468" spans="3:7" x14ac:dyDescent="0.3">
      <c r="C468" s="106"/>
      <c r="D468" s="104" t="s">
        <v>476</v>
      </c>
      <c r="E468" s="104">
        <v>0.02</v>
      </c>
      <c r="F468" s="104">
        <v>2</v>
      </c>
      <c r="G468" s="105">
        <v>14.77</v>
      </c>
    </row>
    <row r="469" spans="3:7" x14ac:dyDescent="0.3">
      <c r="C469" s="106"/>
      <c r="D469" s="104" t="s">
        <v>438</v>
      </c>
      <c r="E469" s="104">
        <v>0.01</v>
      </c>
      <c r="F469" s="104">
        <v>0.5</v>
      </c>
      <c r="G469" s="105">
        <v>11.38</v>
      </c>
    </row>
    <row r="470" spans="3:7" x14ac:dyDescent="0.3">
      <c r="C470" s="106"/>
      <c r="D470" s="104" t="s">
        <v>477</v>
      </c>
      <c r="E470" s="104">
        <v>0.02</v>
      </c>
      <c r="F470" s="104">
        <v>1.8</v>
      </c>
      <c r="G470" s="105">
        <v>12.83</v>
      </c>
    </row>
    <row r="471" spans="3:7" x14ac:dyDescent="0.3">
      <c r="C471" s="106"/>
      <c r="D471" s="104" t="s">
        <v>478</v>
      </c>
      <c r="E471" s="104">
        <v>0</v>
      </c>
      <c r="F471" s="104">
        <v>0.36</v>
      </c>
      <c r="G471" s="105">
        <v>11.67</v>
      </c>
    </row>
    <row r="472" spans="3:7" x14ac:dyDescent="0.3">
      <c r="C472" s="106"/>
      <c r="D472" s="104" t="s">
        <v>479</v>
      </c>
      <c r="E472" s="104">
        <v>0</v>
      </c>
      <c r="F472" s="104">
        <v>0.8</v>
      </c>
      <c r="G472" s="105">
        <v>21.71</v>
      </c>
    </row>
    <row r="473" spans="3:7" x14ac:dyDescent="0.3">
      <c r="C473" s="107"/>
      <c r="D473" s="112" t="s">
        <v>441</v>
      </c>
      <c r="E473" s="112">
        <v>0</v>
      </c>
      <c r="F473" s="112">
        <v>0.32</v>
      </c>
      <c r="G473" s="113">
        <v>17.399999999999999</v>
      </c>
    </row>
    <row r="477" spans="3:7" x14ac:dyDescent="0.3">
      <c r="C477" s="96" t="s">
        <v>480</v>
      </c>
      <c r="D477" s="97" t="s">
        <v>117</v>
      </c>
      <c r="E477" s="97" t="s">
        <v>14</v>
      </c>
      <c r="F477" s="97" t="s">
        <v>15</v>
      </c>
      <c r="G477" s="98" t="s">
        <v>118</v>
      </c>
    </row>
    <row r="478" spans="3:7" x14ac:dyDescent="0.3">
      <c r="C478" s="99" t="s">
        <v>481</v>
      </c>
      <c r="D478" s="104" t="s">
        <v>482</v>
      </c>
      <c r="E478" s="104">
        <v>0.09</v>
      </c>
      <c r="F478" s="104">
        <v>15</v>
      </c>
      <c r="G478" s="105">
        <v>22.36</v>
      </c>
    </row>
    <row r="479" spans="3:7" x14ac:dyDescent="0.3">
      <c r="C479" s="99" t="s">
        <v>483</v>
      </c>
      <c r="D479" s="104" t="s">
        <v>484</v>
      </c>
      <c r="E479" s="104">
        <v>0.01</v>
      </c>
      <c r="F479" s="104">
        <v>1.5</v>
      </c>
      <c r="G479" s="105">
        <v>18.02</v>
      </c>
    </row>
    <row r="480" spans="3:7" x14ac:dyDescent="0.3">
      <c r="C480" s="99" t="s">
        <v>485</v>
      </c>
      <c r="D480" s="104" t="s">
        <v>468</v>
      </c>
      <c r="E480" s="104">
        <v>0.2</v>
      </c>
      <c r="F480" s="104">
        <v>22</v>
      </c>
      <c r="G480" s="105">
        <v>14.83</v>
      </c>
    </row>
    <row r="481" spans="3:7" x14ac:dyDescent="0.3">
      <c r="C481" s="106"/>
      <c r="D481" s="104" t="s">
        <v>486</v>
      </c>
      <c r="E481" s="104">
        <v>0.38</v>
      </c>
      <c r="F481" s="104">
        <v>30</v>
      </c>
      <c r="G481" s="105">
        <v>10.39</v>
      </c>
    </row>
    <row r="482" spans="3:7" x14ac:dyDescent="0.3">
      <c r="C482" s="106"/>
      <c r="D482" s="104" t="s">
        <v>487</v>
      </c>
      <c r="E482" s="104">
        <v>0.25</v>
      </c>
      <c r="F482" s="104">
        <v>30</v>
      </c>
      <c r="G482" s="105">
        <v>16.12</v>
      </c>
    </row>
    <row r="483" spans="3:7" x14ac:dyDescent="0.3">
      <c r="C483" s="106"/>
      <c r="D483" s="104" t="s">
        <v>419</v>
      </c>
      <c r="E483" s="104">
        <v>0.34</v>
      </c>
      <c r="F483" s="104">
        <v>30</v>
      </c>
      <c r="G483" s="105">
        <v>11.74</v>
      </c>
    </row>
    <row r="484" spans="3:7" x14ac:dyDescent="0.3">
      <c r="C484" s="106"/>
      <c r="D484" s="104" t="s">
        <v>453</v>
      </c>
      <c r="E484" s="104">
        <v>0.31</v>
      </c>
      <c r="F484" s="104">
        <v>50</v>
      </c>
      <c r="G484" s="105">
        <v>21.17</v>
      </c>
    </row>
    <row r="485" spans="3:7" x14ac:dyDescent="0.3">
      <c r="C485" s="106"/>
      <c r="D485" s="104" t="s">
        <v>420</v>
      </c>
      <c r="E485" s="104">
        <v>0.1</v>
      </c>
      <c r="F485" s="104">
        <v>21.6</v>
      </c>
      <c r="G485" s="105">
        <v>28.95</v>
      </c>
    </row>
    <row r="486" spans="3:7" x14ac:dyDescent="0.3">
      <c r="C486" s="106"/>
      <c r="D486" s="104" t="s">
        <v>421</v>
      </c>
      <c r="E486" s="104">
        <v>0.14000000000000001</v>
      </c>
      <c r="F486" s="104">
        <v>18.7</v>
      </c>
      <c r="G486" s="105">
        <v>17.64</v>
      </c>
    </row>
    <row r="487" spans="3:7" x14ac:dyDescent="0.3">
      <c r="C487" s="106"/>
      <c r="D487" s="104" t="s">
        <v>454</v>
      </c>
      <c r="E487" s="104">
        <v>0.28999999999999998</v>
      </c>
      <c r="F487" s="104">
        <v>50</v>
      </c>
      <c r="G487" s="105">
        <v>23.34</v>
      </c>
    </row>
    <row r="488" spans="3:7" x14ac:dyDescent="0.3">
      <c r="C488" s="106"/>
      <c r="D488" s="104" t="s">
        <v>457</v>
      </c>
      <c r="E488" s="104">
        <v>0.23</v>
      </c>
      <c r="F488" s="104">
        <v>40</v>
      </c>
      <c r="G488" s="105">
        <v>23.18</v>
      </c>
    </row>
    <row r="489" spans="3:7" x14ac:dyDescent="0.3">
      <c r="C489" s="106"/>
      <c r="D489" s="102" t="s">
        <v>423</v>
      </c>
      <c r="E489" s="102">
        <v>0.22</v>
      </c>
      <c r="F489" s="102">
        <v>51.6</v>
      </c>
      <c r="G489" s="103">
        <v>31.35</v>
      </c>
    </row>
    <row r="490" spans="3:7" x14ac:dyDescent="0.3">
      <c r="C490" s="106"/>
      <c r="D490" s="104" t="s">
        <v>424</v>
      </c>
      <c r="E490" s="104">
        <v>0.17</v>
      </c>
      <c r="F490" s="104">
        <v>33.6</v>
      </c>
      <c r="G490" s="105">
        <v>26.19</v>
      </c>
    </row>
    <row r="491" spans="3:7" x14ac:dyDescent="0.3">
      <c r="C491" s="106"/>
      <c r="D491" s="104" t="s">
        <v>425</v>
      </c>
      <c r="E491" s="104">
        <v>0.02</v>
      </c>
      <c r="F491" s="104">
        <v>2</v>
      </c>
      <c r="G491" s="105">
        <v>12.45</v>
      </c>
    </row>
    <row r="492" spans="3:7" x14ac:dyDescent="0.3">
      <c r="C492" s="106"/>
      <c r="D492" s="104" t="s">
        <v>473</v>
      </c>
      <c r="E492" s="104">
        <v>0.01</v>
      </c>
      <c r="F492" s="104">
        <v>0.9</v>
      </c>
      <c r="G492" s="105">
        <v>19.52</v>
      </c>
    </row>
    <row r="493" spans="3:7" x14ac:dyDescent="0.3">
      <c r="C493" s="106"/>
      <c r="D493" s="104" t="s">
        <v>426</v>
      </c>
      <c r="E493" s="104">
        <v>0.01</v>
      </c>
      <c r="F493" s="104">
        <v>1.72</v>
      </c>
      <c r="G493" s="105">
        <v>18.03</v>
      </c>
    </row>
    <row r="494" spans="3:7" x14ac:dyDescent="0.3">
      <c r="C494" s="106"/>
      <c r="D494" s="104" t="s">
        <v>407</v>
      </c>
      <c r="E494" s="104">
        <v>0.02</v>
      </c>
      <c r="F494" s="104">
        <v>2</v>
      </c>
      <c r="G494" s="105">
        <v>15.39</v>
      </c>
    </row>
    <row r="495" spans="3:7" x14ac:dyDescent="0.3">
      <c r="C495" s="106"/>
      <c r="D495" s="104" t="s">
        <v>427</v>
      </c>
      <c r="E495" s="104">
        <v>0.02</v>
      </c>
      <c r="F495" s="104">
        <v>1.2</v>
      </c>
      <c r="G495" s="105">
        <v>8.08</v>
      </c>
    </row>
    <row r="496" spans="3:7" x14ac:dyDescent="0.3">
      <c r="C496" s="106"/>
      <c r="D496" s="104" t="s">
        <v>408</v>
      </c>
      <c r="E496" s="104">
        <v>0.04</v>
      </c>
      <c r="F496" s="104">
        <v>1.92</v>
      </c>
      <c r="G496" s="105">
        <v>6.76</v>
      </c>
    </row>
    <row r="497" spans="3:7" x14ac:dyDescent="0.3">
      <c r="C497" s="106"/>
      <c r="D497" s="104" t="s">
        <v>428</v>
      </c>
      <c r="E497" s="104">
        <v>0</v>
      </c>
      <c r="F497" s="104">
        <v>0.9</v>
      </c>
      <c r="G497" s="105">
        <v>36.19</v>
      </c>
    </row>
    <row r="498" spans="3:7" x14ac:dyDescent="0.3">
      <c r="C498" s="106"/>
      <c r="D498" s="104" t="s">
        <v>429</v>
      </c>
      <c r="E498" s="104">
        <v>0.01</v>
      </c>
      <c r="F498" s="104">
        <v>1</v>
      </c>
      <c r="G498" s="105">
        <v>16.649999999999999</v>
      </c>
    </row>
    <row r="499" spans="3:7" x14ac:dyDescent="0.3">
      <c r="C499" s="106"/>
      <c r="D499" s="104" t="s">
        <v>430</v>
      </c>
      <c r="E499" s="104">
        <v>0.02</v>
      </c>
      <c r="F499" s="104">
        <v>2.1</v>
      </c>
      <c r="G499" s="105">
        <v>12.41</v>
      </c>
    </row>
    <row r="500" spans="3:7" x14ac:dyDescent="0.3">
      <c r="C500" s="106"/>
      <c r="D500" s="104" t="s">
        <v>431</v>
      </c>
      <c r="E500" s="104">
        <v>0.02</v>
      </c>
      <c r="F500" s="104">
        <v>1.8</v>
      </c>
      <c r="G500" s="105">
        <v>10.54</v>
      </c>
    </row>
    <row r="501" spans="3:7" x14ac:dyDescent="0.3">
      <c r="C501" s="106"/>
      <c r="D501" s="104" t="s">
        <v>432</v>
      </c>
      <c r="E501" s="104">
        <v>0.03</v>
      </c>
      <c r="F501" s="104">
        <v>2.64</v>
      </c>
      <c r="G501" s="105">
        <v>10.51</v>
      </c>
    </row>
    <row r="502" spans="3:7" x14ac:dyDescent="0.3">
      <c r="C502" s="106"/>
      <c r="D502" s="104" t="s">
        <v>475</v>
      </c>
      <c r="E502" s="104">
        <v>0.03</v>
      </c>
      <c r="F502" s="104">
        <v>2</v>
      </c>
      <c r="G502" s="105">
        <v>8.93</v>
      </c>
    </row>
    <row r="503" spans="3:7" x14ac:dyDescent="0.3">
      <c r="C503" s="106"/>
      <c r="D503" s="104" t="s">
        <v>433</v>
      </c>
      <c r="E503" s="104">
        <v>0.03</v>
      </c>
      <c r="F503" s="104">
        <v>3.6</v>
      </c>
      <c r="G503" s="105">
        <v>15.75</v>
      </c>
    </row>
    <row r="504" spans="3:7" x14ac:dyDescent="0.3">
      <c r="C504" s="106"/>
      <c r="D504" s="104" t="s">
        <v>410</v>
      </c>
      <c r="E504" s="104">
        <v>0.01</v>
      </c>
      <c r="F504" s="104">
        <v>0.4</v>
      </c>
      <c r="G504" s="105">
        <v>10.33</v>
      </c>
    </row>
    <row r="505" spans="3:7" x14ac:dyDescent="0.3">
      <c r="C505" s="106"/>
      <c r="D505" s="104" t="s">
        <v>434</v>
      </c>
      <c r="E505" s="104">
        <v>0.02</v>
      </c>
      <c r="F505" s="104">
        <v>2</v>
      </c>
      <c r="G505" s="105">
        <v>13.77</v>
      </c>
    </row>
    <row r="506" spans="3:7" x14ac:dyDescent="0.3">
      <c r="C506" s="106"/>
      <c r="D506" s="104" t="s">
        <v>435</v>
      </c>
      <c r="E506" s="104">
        <v>0.04</v>
      </c>
      <c r="F506" s="104">
        <v>3.2</v>
      </c>
      <c r="G506" s="105">
        <v>10.72</v>
      </c>
    </row>
    <row r="507" spans="3:7" x14ac:dyDescent="0.3">
      <c r="C507" s="106"/>
      <c r="D507" s="104" t="s">
        <v>436</v>
      </c>
      <c r="E507" s="104">
        <v>0.02</v>
      </c>
      <c r="F507" s="104">
        <v>1.5</v>
      </c>
      <c r="G507" s="105">
        <v>12.86</v>
      </c>
    </row>
    <row r="508" spans="3:7" x14ac:dyDescent="0.3">
      <c r="C508" s="106"/>
      <c r="D508" s="104" t="s">
        <v>437</v>
      </c>
      <c r="E508" s="104">
        <v>0.01</v>
      </c>
      <c r="F508" s="104">
        <v>1</v>
      </c>
      <c r="G508" s="105">
        <v>11.89</v>
      </c>
    </row>
    <row r="509" spans="3:7" x14ac:dyDescent="0.3">
      <c r="C509" s="106"/>
      <c r="D509" s="104" t="s">
        <v>476</v>
      </c>
      <c r="E509" s="104">
        <v>0.02</v>
      </c>
      <c r="F509" s="104">
        <v>2</v>
      </c>
      <c r="G509" s="105">
        <v>14.77</v>
      </c>
    </row>
    <row r="510" spans="3:7" x14ac:dyDescent="0.3">
      <c r="C510" s="106"/>
      <c r="D510" s="104" t="s">
        <v>438</v>
      </c>
      <c r="E510" s="104">
        <v>0.01</v>
      </c>
      <c r="F510" s="104">
        <v>0.5</v>
      </c>
      <c r="G510" s="105">
        <v>11.38</v>
      </c>
    </row>
    <row r="511" spans="3:7" x14ac:dyDescent="0.3">
      <c r="C511" s="106"/>
      <c r="D511" s="104" t="s">
        <v>477</v>
      </c>
      <c r="E511" s="104">
        <v>0.02</v>
      </c>
      <c r="F511" s="104">
        <v>1.8</v>
      </c>
      <c r="G511" s="105">
        <v>12.83</v>
      </c>
    </row>
    <row r="512" spans="3:7" x14ac:dyDescent="0.3">
      <c r="C512" s="106"/>
      <c r="D512" s="104" t="s">
        <v>478</v>
      </c>
      <c r="E512" s="104">
        <v>0</v>
      </c>
      <c r="F512" s="104">
        <v>0.36</v>
      </c>
      <c r="G512" s="105">
        <v>11.67</v>
      </c>
    </row>
    <row r="513" spans="3:7" x14ac:dyDescent="0.3">
      <c r="C513" s="106"/>
      <c r="D513" s="104" t="s">
        <v>479</v>
      </c>
      <c r="E513" s="104">
        <v>0</v>
      </c>
      <c r="F513" s="104">
        <v>0.8</v>
      </c>
      <c r="G513" s="105">
        <v>21.71</v>
      </c>
    </row>
    <row r="514" spans="3:7" x14ac:dyDescent="0.3">
      <c r="C514" s="106"/>
      <c r="D514" s="100" t="s">
        <v>441</v>
      </c>
      <c r="E514" s="100">
        <v>0</v>
      </c>
      <c r="F514" s="100">
        <v>0.32</v>
      </c>
      <c r="G514" s="101">
        <v>17.399999999999999</v>
      </c>
    </row>
    <row r="515" spans="3:7" x14ac:dyDescent="0.3">
      <c r="C515" s="106"/>
      <c r="D515" s="104" t="s">
        <v>488</v>
      </c>
      <c r="E515" s="104">
        <v>0.04</v>
      </c>
      <c r="F515" s="104">
        <v>6.5</v>
      </c>
      <c r="G515" s="105">
        <v>22.36</v>
      </c>
    </row>
    <row r="516" spans="3:7" x14ac:dyDescent="0.3">
      <c r="C516" s="106"/>
      <c r="D516" s="104" t="s">
        <v>458</v>
      </c>
      <c r="E516" s="104">
        <v>0.04</v>
      </c>
      <c r="F516" s="104">
        <v>4</v>
      </c>
      <c r="G516" s="105">
        <v>14.02</v>
      </c>
    </row>
    <row r="517" spans="3:7" x14ac:dyDescent="0.3">
      <c r="C517" s="107"/>
      <c r="D517" s="108" t="s">
        <v>489</v>
      </c>
      <c r="E517" s="108">
        <v>0.06</v>
      </c>
      <c r="F517" s="108">
        <v>7</v>
      </c>
      <c r="G517" s="109">
        <v>16.350000000000001</v>
      </c>
    </row>
    <row r="521" spans="3:7" x14ac:dyDescent="0.3">
      <c r="C521" s="96" t="s">
        <v>490</v>
      </c>
      <c r="D521" s="97" t="s">
        <v>117</v>
      </c>
      <c r="E521" s="97" t="s">
        <v>14</v>
      </c>
      <c r="F521" s="97" t="s">
        <v>15</v>
      </c>
      <c r="G521" s="98" t="s">
        <v>118</v>
      </c>
    </row>
    <row r="522" spans="3:7" x14ac:dyDescent="0.3">
      <c r="C522" s="99" t="s">
        <v>491</v>
      </c>
      <c r="D522" s="104" t="s">
        <v>492</v>
      </c>
      <c r="E522" s="104">
        <v>0.09</v>
      </c>
      <c r="F522" s="104">
        <v>20</v>
      </c>
      <c r="G522" s="105">
        <v>30.39</v>
      </c>
    </row>
    <row r="523" spans="3:7" x14ac:dyDescent="0.3">
      <c r="C523" s="99" t="s">
        <v>493</v>
      </c>
      <c r="D523" s="104" t="s">
        <v>463</v>
      </c>
      <c r="E523" s="104">
        <v>7.0000000000000007E-2</v>
      </c>
      <c r="F523" s="104">
        <v>10</v>
      </c>
      <c r="G523" s="105">
        <v>19.79</v>
      </c>
    </row>
    <row r="524" spans="3:7" x14ac:dyDescent="0.3">
      <c r="C524" s="99" t="s">
        <v>494</v>
      </c>
      <c r="D524" s="104" t="s">
        <v>495</v>
      </c>
      <c r="E524" s="104">
        <v>0.02</v>
      </c>
      <c r="F524" s="104">
        <v>2.5</v>
      </c>
      <c r="G524" s="105">
        <v>18.02</v>
      </c>
    </row>
    <row r="525" spans="3:7" x14ac:dyDescent="0.3">
      <c r="C525" s="106"/>
      <c r="D525" s="104" t="s">
        <v>496</v>
      </c>
      <c r="E525" s="104">
        <v>0.03</v>
      </c>
      <c r="F525" s="104">
        <v>4</v>
      </c>
      <c r="G525" s="105">
        <v>18.02</v>
      </c>
    </row>
    <row r="526" spans="3:7" x14ac:dyDescent="0.3">
      <c r="C526" s="106"/>
      <c r="D526" s="104" t="s">
        <v>401</v>
      </c>
      <c r="E526" s="104">
        <v>0.17</v>
      </c>
      <c r="F526" s="104">
        <v>39.1</v>
      </c>
      <c r="G526" s="105">
        <v>30.28</v>
      </c>
    </row>
    <row r="527" spans="3:7" x14ac:dyDescent="0.3">
      <c r="C527" s="106"/>
      <c r="D527" s="104" t="s">
        <v>400</v>
      </c>
      <c r="E527" s="104">
        <v>0.08</v>
      </c>
      <c r="F527" s="104">
        <v>11</v>
      </c>
      <c r="G527" s="105">
        <v>18.190000000000001</v>
      </c>
    </row>
    <row r="528" spans="3:7" x14ac:dyDescent="0.3">
      <c r="C528" s="106"/>
      <c r="D528" s="104" t="s">
        <v>497</v>
      </c>
      <c r="E528" s="104">
        <v>0.02</v>
      </c>
      <c r="F528" s="104">
        <v>2.5</v>
      </c>
      <c r="G528" s="105">
        <v>18.02</v>
      </c>
    </row>
    <row r="529" spans="3:7" x14ac:dyDescent="0.3">
      <c r="C529" s="106"/>
      <c r="D529" s="104" t="s">
        <v>402</v>
      </c>
      <c r="E529" s="104">
        <v>0.01</v>
      </c>
      <c r="F529" s="104">
        <v>1.2</v>
      </c>
      <c r="G529" s="105">
        <v>21.26</v>
      </c>
    </row>
    <row r="530" spans="3:7" x14ac:dyDescent="0.3">
      <c r="C530" s="106"/>
      <c r="D530" s="104" t="s">
        <v>402</v>
      </c>
      <c r="E530" s="104">
        <v>0.02</v>
      </c>
      <c r="F530" s="104">
        <v>3.5</v>
      </c>
      <c r="G530" s="105">
        <v>21.26</v>
      </c>
    </row>
    <row r="531" spans="3:7" x14ac:dyDescent="0.3">
      <c r="C531" s="106"/>
      <c r="D531" s="104" t="s">
        <v>399</v>
      </c>
      <c r="E531" s="104">
        <v>0.17</v>
      </c>
      <c r="F531" s="104">
        <v>18.7</v>
      </c>
      <c r="G531" s="105">
        <v>14.83</v>
      </c>
    </row>
    <row r="532" spans="3:7" x14ac:dyDescent="0.3">
      <c r="C532" s="106"/>
      <c r="D532" s="104" t="s">
        <v>448</v>
      </c>
      <c r="E532" s="104">
        <v>0.06</v>
      </c>
      <c r="F532" s="104">
        <v>13.3</v>
      </c>
      <c r="G532" s="105">
        <v>30.28</v>
      </c>
    </row>
    <row r="533" spans="3:7" x14ac:dyDescent="0.3">
      <c r="C533" s="106"/>
      <c r="D533" s="104" t="s">
        <v>498</v>
      </c>
      <c r="E533" s="104">
        <v>0.12</v>
      </c>
      <c r="F533" s="104">
        <v>23</v>
      </c>
      <c r="G533" s="105">
        <v>25.02</v>
      </c>
    </row>
    <row r="534" spans="3:7" x14ac:dyDescent="0.3">
      <c r="C534" s="106"/>
      <c r="D534" s="104" t="s">
        <v>470</v>
      </c>
      <c r="E534" s="104">
        <v>0.25</v>
      </c>
      <c r="F534" s="104">
        <v>25</v>
      </c>
      <c r="G534" s="105">
        <v>13.52</v>
      </c>
    </row>
    <row r="535" spans="3:7" x14ac:dyDescent="0.3">
      <c r="C535" s="106"/>
      <c r="D535" s="104" t="s">
        <v>471</v>
      </c>
      <c r="E535" s="104">
        <v>0.18</v>
      </c>
      <c r="F535" s="104">
        <v>25</v>
      </c>
      <c r="G535" s="105">
        <v>18.13</v>
      </c>
    </row>
    <row r="536" spans="3:7" x14ac:dyDescent="0.3">
      <c r="C536" s="106"/>
      <c r="D536" s="104" t="s">
        <v>420</v>
      </c>
      <c r="E536" s="104">
        <v>0.15</v>
      </c>
      <c r="F536" s="104">
        <v>32.4</v>
      </c>
      <c r="G536" s="105">
        <v>28.95</v>
      </c>
    </row>
    <row r="537" spans="3:7" x14ac:dyDescent="0.3">
      <c r="C537" s="106"/>
      <c r="D537" s="104" t="s">
        <v>421</v>
      </c>
      <c r="E537" s="104">
        <v>0.13</v>
      </c>
      <c r="F537" s="104">
        <v>17</v>
      </c>
      <c r="G537" s="105">
        <v>17.64</v>
      </c>
    </row>
    <row r="538" spans="3:7" x14ac:dyDescent="0.3">
      <c r="C538" s="106"/>
      <c r="D538" s="104" t="s">
        <v>454</v>
      </c>
      <c r="E538" s="104">
        <v>0.28999999999999998</v>
      </c>
      <c r="F538" s="104">
        <v>50</v>
      </c>
      <c r="G538" s="105">
        <v>23.34</v>
      </c>
    </row>
    <row r="539" spans="3:7" x14ac:dyDescent="0.3">
      <c r="C539" s="106"/>
      <c r="D539" s="104" t="s">
        <v>455</v>
      </c>
      <c r="E539" s="104">
        <v>0.28000000000000003</v>
      </c>
      <c r="F539" s="104">
        <v>48</v>
      </c>
      <c r="G539" s="105">
        <v>23.04</v>
      </c>
    </row>
    <row r="540" spans="3:7" x14ac:dyDescent="0.3">
      <c r="C540" s="106"/>
      <c r="D540" s="104" t="s">
        <v>457</v>
      </c>
      <c r="E540" s="104">
        <v>0.12</v>
      </c>
      <c r="F540" s="104">
        <v>20</v>
      </c>
      <c r="G540" s="105">
        <v>23.18</v>
      </c>
    </row>
    <row r="541" spans="3:7" x14ac:dyDescent="0.3">
      <c r="C541" s="106"/>
      <c r="D541" s="102" t="s">
        <v>423</v>
      </c>
      <c r="E541" s="102">
        <v>0.27</v>
      </c>
      <c r="F541" s="102">
        <v>64.5</v>
      </c>
      <c r="G541" s="103">
        <v>31.35</v>
      </c>
    </row>
    <row r="542" spans="3:7" x14ac:dyDescent="0.3">
      <c r="C542" s="106"/>
      <c r="D542" s="104" t="s">
        <v>424</v>
      </c>
      <c r="E542" s="104">
        <v>0.13</v>
      </c>
      <c r="F542" s="104">
        <v>25.2</v>
      </c>
      <c r="G542" s="105">
        <v>26.19</v>
      </c>
    </row>
    <row r="543" spans="3:7" x14ac:dyDescent="0.3">
      <c r="C543" s="106"/>
      <c r="D543" s="104" t="s">
        <v>425</v>
      </c>
      <c r="E543" s="104">
        <v>0.02</v>
      </c>
      <c r="F543" s="104">
        <v>2</v>
      </c>
      <c r="G543" s="105">
        <v>12.45</v>
      </c>
    </row>
    <row r="544" spans="3:7" x14ac:dyDescent="0.3">
      <c r="C544" s="106"/>
      <c r="D544" s="104" t="s">
        <v>473</v>
      </c>
      <c r="E544" s="104">
        <v>0.01</v>
      </c>
      <c r="F544" s="104">
        <v>0.9</v>
      </c>
      <c r="G544" s="105">
        <v>19.52</v>
      </c>
    </row>
    <row r="545" spans="3:7" x14ac:dyDescent="0.3">
      <c r="C545" s="106"/>
      <c r="D545" s="104" t="s">
        <v>426</v>
      </c>
      <c r="E545" s="104">
        <v>0.01</v>
      </c>
      <c r="F545" s="104">
        <v>1.72</v>
      </c>
      <c r="G545" s="105">
        <v>18.03</v>
      </c>
    </row>
    <row r="546" spans="3:7" x14ac:dyDescent="0.3">
      <c r="C546" s="106"/>
      <c r="D546" s="104" t="s">
        <v>407</v>
      </c>
      <c r="E546" s="104">
        <v>0.02</v>
      </c>
      <c r="F546" s="104">
        <v>2</v>
      </c>
      <c r="G546" s="105">
        <v>15.39</v>
      </c>
    </row>
    <row r="547" spans="3:7" x14ac:dyDescent="0.3">
      <c r="C547" s="106"/>
      <c r="D547" s="104" t="s">
        <v>427</v>
      </c>
      <c r="E547" s="104">
        <v>0.02</v>
      </c>
      <c r="F547" s="104">
        <v>1.2</v>
      </c>
      <c r="G547" s="105">
        <v>8.08</v>
      </c>
    </row>
    <row r="548" spans="3:7" x14ac:dyDescent="0.3">
      <c r="C548" s="106"/>
      <c r="D548" s="104" t="s">
        <v>408</v>
      </c>
      <c r="E548" s="104">
        <v>0.04</v>
      </c>
      <c r="F548" s="104">
        <v>1.92</v>
      </c>
      <c r="G548" s="105">
        <v>6.76</v>
      </c>
    </row>
    <row r="549" spans="3:7" x14ac:dyDescent="0.3">
      <c r="C549" s="106"/>
      <c r="D549" s="104" t="s">
        <v>428</v>
      </c>
      <c r="E549" s="104">
        <v>0</v>
      </c>
      <c r="F549" s="104">
        <v>0.9</v>
      </c>
      <c r="G549" s="105">
        <v>36.19</v>
      </c>
    </row>
    <row r="550" spans="3:7" x14ac:dyDescent="0.3">
      <c r="C550" s="106"/>
      <c r="D550" s="104" t="s">
        <v>429</v>
      </c>
      <c r="E550" s="104">
        <v>0.01</v>
      </c>
      <c r="F550" s="104">
        <v>1</v>
      </c>
      <c r="G550" s="105">
        <v>16.649999999999999</v>
      </c>
    </row>
    <row r="551" spans="3:7" x14ac:dyDescent="0.3">
      <c r="C551" s="106"/>
      <c r="D551" s="104" t="s">
        <v>430</v>
      </c>
      <c r="E551" s="104">
        <v>0.02</v>
      </c>
      <c r="F551" s="104">
        <v>2.1</v>
      </c>
      <c r="G551" s="105">
        <v>12.41</v>
      </c>
    </row>
    <row r="552" spans="3:7" x14ac:dyDescent="0.3">
      <c r="C552" s="106"/>
      <c r="D552" s="104" t="s">
        <v>431</v>
      </c>
      <c r="E552" s="104">
        <v>0.02</v>
      </c>
      <c r="F552" s="104">
        <v>1.8</v>
      </c>
      <c r="G552" s="105">
        <v>10.54</v>
      </c>
    </row>
    <row r="553" spans="3:7" x14ac:dyDescent="0.3">
      <c r="C553" s="106"/>
      <c r="D553" s="104" t="s">
        <v>432</v>
      </c>
      <c r="E553" s="104">
        <v>0.03</v>
      </c>
      <c r="F553" s="104">
        <v>2.64</v>
      </c>
      <c r="G553" s="105">
        <v>10.51</v>
      </c>
    </row>
    <row r="554" spans="3:7" x14ac:dyDescent="0.3">
      <c r="C554" s="106"/>
      <c r="D554" s="104" t="s">
        <v>475</v>
      </c>
      <c r="E554" s="104">
        <v>0.03</v>
      </c>
      <c r="F554" s="104">
        <v>2</v>
      </c>
      <c r="G554" s="105">
        <v>8.93</v>
      </c>
    </row>
    <row r="555" spans="3:7" x14ac:dyDescent="0.3">
      <c r="C555" s="106"/>
      <c r="D555" s="104" t="s">
        <v>433</v>
      </c>
      <c r="E555" s="104">
        <v>0.03</v>
      </c>
      <c r="F555" s="104">
        <v>3.6</v>
      </c>
      <c r="G555" s="105">
        <v>15.75</v>
      </c>
    </row>
    <row r="556" spans="3:7" x14ac:dyDescent="0.3">
      <c r="C556" s="106"/>
      <c r="D556" s="104" t="s">
        <v>410</v>
      </c>
      <c r="E556" s="104">
        <v>0.01</v>
      </c>
      <c r="F556" s="104">
        <v>0.4</v>
      </c>
      <c r="G556" s="105">
        <v>10.33</v>
      </c>
    </row>
    <row r="557" spans="3:7" x14ac:dyDescent="0.3">
      <c r="C557" s="106"/>
      <c r="D557" s="104" t="s">
        <v>434</v>
      </c>
      <c r="E557" s="104">
        <v>0.02</v>
      </c>
      <c r="F557" s="104">
        <v>2</v>
      </c>
      <c r="G557" s="105">
        <v>13.77</v>
      </c>
    </row>
    <row r="558" spans="3:7" x14ac:dyDescent="0.3">
      <c r="C558" s="106"/>
      <c r="D558" s="104" t="s">
        <v>435</v>
      </c>
      <c r="E558" s="104">
        <v>0.04</v>
      </c>
      <c r="F558" s="104">
        <v>3.2</v>
      </c>
      <c r="G558" s="105">
        <v>10.72</v>
      </c>
    </row>
    <row r="559" spans="3:7" x14ac:dyDescent="0.3">
      <c r="C559" s="106"/>
      <c r="D559" s="104" t="s">
        <v>436</v>
      </c>
      <c r="E559" s="104">
        <v>0.02</v>
      </c>
      <c r="F559" s="104">
        <v>1.5</v>
      </c>
      <c r="G559" s="105">
        <v>12.86</v>
      </c>
    </row>
    <row r="560" spans="3:7" x14ac:dyDescent="0.3">
      <c r="C560" s="106"/>
      <c r="D560" s="104" t="s">
        <v>437</v>
      </c>
      <c r="E560" s="104">
        <v>0.01</v>
      </c>
      <c r="F560" s="104">
        <v>1</v>
      </c>
      <c r="G560" s="105">
        <v>11.89</v>
      </c>
    </row>
    <row r="561" spans="3:7" x14ac:dyDescent="0.3">
      <c r="C561" s="106"/>
      <c r="D561" s="104" t="s">
        <v>476</v>
      </c>
      <c r="E561" s="104">
        <v>0.02</v>
      </c>
      <c r="F561" s="104">
        <v>2</v>
      </c>
      <c r="G561" s="105">
        <v>14.77</v>
      </c>
    </row>
    <row r="562" spans="3:7" x14ac:dyDescent="0.3">
      <c r="C562" s="106"/>
      <c r="D562" s="104" t="s">
        <v>438</v>
      </c>
      <c r="E562" s="104">
        <v>0.01</v>
      </c>
      <c r="F562" s="104">
        <v>0.5</v>
      </c>
      <c r="G562" s="105">
        <v>11.38</v>
      </c>
    </row>
    <row r="563" spans="3:7" x14ac:dyDescent="0.3">
      <c r="C563" s="106"/>
      <c r="D563" s="104" t="s">
        <v>477</v>
      </c>
      <c r="E563" s="104">
        <v>0.02</v>
      </c>
      <c r="F563" s="104">
        <v>1.8</v>
      </c>
      <c r="G563" s="105">
        <v>12.83</v>
      </c>
    </row>
    <row r="564" spans="3:7" x14ac:dyDescent="0.3">
      <c r="C564" s="106"/>
      <c r="D564" s="104" t="s">
        <v>478</v>
      </c>
      <c r="E564" s="104">
        <v>0</v>
      </c>
      <c r="F564" s="104">
        <v>0.36</v>
      </c>
      <c r="G564" s="105">
        <v>11.67</v>
      </c>
    </row>
    <row r="565" spans="3:7" x14ac:dyDescent="0.3">
      <c r="C565" s="106"/>
      <c r="D565" s="104" t="s">
        <v>479</v>
      </c>
      <c r="E565" s="104">
        <v>0</v>
      </c>
      <c r="F565" s="104">
        <v>0.8</v>
      </c>
      <c r="G565" s="105">
        <v>21.71</v>
      </c>
    </row>
    <row r="566" spans="3:7" x14ac:dyDescent="0.3">
      <c r="C566" s="106"/>
      <c r="D566" s="100" t="s">
        <v>441</v>
      </c>
      <c r="E566" s="100">
        <v>0</v>
      </c>
      <c r="F566" s="100">
        <v>0.32</v>
      </c>
      <c r="G566" s="101">
        <v>17.399999999999999</v>
      </c>
    </row>
    <row r="567" spans="3:7" x14ac:dyDescent="0.3">
      <c r="C567" s="107"/>
      <c r="D567" s="108" t="s">
        <v>499</v>
      </c>
      <c r="E567" s="108">
        <v>0.02</v>
      </c>
      <c r="F567" s="108">
        <v>2.31</v>
      </c>
      <c r="G567" s="109">
        <v>17.21</v>
      </c>
    </row>
    <row r="571" spans="3:7" x14ac:dyDescent="0.3">
      <c r="C571" s="96" t="s">
        <v>500</v>
      </c>
      <c r="D571" s="97" t="s">
        <v>117</v>
      </c>
      <c r="E571" s="97" t="s">
        <v>14</v>
      </c>
      <c r="F571" s="97" t="s">
        <v>15</v>
      </c>
      <c r="G571" s="98" t="s">
        <v>118</v>
      </c>
    </row>
    <row r="572" spans="3:7" x14ac:dyDescent="0.3">
      <c r="C572" s="99" t="s">
        <v>501</v>
      </c>
      <c r="D572" s="100" t="s">
        <v>502</v>
      </c>
      <c r="E572" s="100">
        <v>0.02</v>
      </c>
      <c r="F572" s="100">
        <v>0.74</v>
      </c>
      <c r="G572" s="101">
        <v>5.74</v>
      </c>
    </row>
    <row r="573" spans="3:7" x14ac:dyDescent="0.3">
      <c r="C573" s="99" t="s">
        <v>503</v>
      </c>
      <c r="D573" s="104" t="s">
        <v>504</v>
      </c>
      <c r="E573" s="104">
        <v>0.28000000000000003</v>
      </c>
      <c r="F573" s="104">
        <v>10.199999999999999</v>
      </c>
      <c r="G573" s="105">
        <v>4.87</v>
      </c>
    </row>
    <row r="574" spans="3:7" x14ac:dyDescent="0.3">
      <c r="C574" s="99" t="s">
        <v>505</v>
      </c>
      <c r="D574" s="104" t="s">
        <v>506</v>
      </c>
      <c r="E574" s="104">
        <v>0.05</v>
      </c>
      <c r="F574" s="104">
        <v>7</v>
      </c>
      <c r="G574" s="105">
        <v>18.59</v>
      </c>
    </row>
    <row r="575" spans="3:7" x14ac:dyDescent="0.3">
      <c r="C575" s="106"/>
      <c r="D575" s="104" t="s">
        <v>507</v>
      </c>
      <c r="E575" s="104">
        <v>0.16</v>
      </c>
      <c r="F575" s="104">
        <v>6</v>
      </c>
      <c r="G575" s="105">
        <v>4.87</v>
      </c>
    </row>
    <row r="576" spans="3:7" x14ac:dyDescent="0.3">
      <c r="C576" s="107"/>
      <c r="D576" s="110" t="s">
        <v>508</v>
      </c>
      <c r="E576" s="110">
        <v>0.31</v>
      </c>
      <c r="F576" s="110">
        <v>11.2</v>
      </c>
      <c r="G576" s="111">
        <v>4.87</v>
      </c>
    </row>
    <row r="580" spans="3:7" x14ac:dyDescent="0.3">
      <c r="C580" s="96" t="s">
        <v>509</v>
      </c>
      <c r="D580" s="97" t="s">
        <v>117</v>
      </c>
      <c r="E580" s="97" t="s">
        <v>14</v>
      </c>
      <c r="F580" s="97" t="s">
        <v>15</v>
      </c>
      <c r="G580" s="98" t="s">
        <v>118</v>
      </c>
    </row>
    <row r="581" spans="3:7" x14ac:dyDescent="0.3">
      <c r="C581" s="99" t="s">
        <v>510</v>
      </c>
      <c r="D581" s="102" t="s">
        <v>511</v>
      </c>
      <c r="E581" s="102">
        <v>0.56999999999999995</v>
      </c>
      <c r="F581" s="102">
        <v>21</v>
      </c>
      <c r="G581" s="103">
        <v>4.87</v>
      </c>
    </row>
    <row r="582" spans="3:7" x14ac:dyDescent="0.3">
      <c r="C582" s="99" t="s">
        <v>307</v>
      </c>
      <c r="D582" s="104"/>
      <c r="E582" s="104"/>
      <c r="F582" s="104"/>
      <c r="G582" s="105"/>
    </row>
    <row r="583" spans="3:7" x14ac:dyDescent="0.3">
      <c r="C583" s="114" t="s">
        <v>512</v>
      </c>
      <c r="D583" s="108"/>
      <c r="E583" s="108"/>
      <c r="F583" s="108"/>
      <c r="G583" s="109"/>
    </row>
    <row r="587" spans="3:7" x14ac:dyDescent="0.3">
      <c r="C587" s="96" t="s">
        <v>513</v>
      </c>
      <c r="D587" s="97" t="s">
        <v>117</v>
      </c>
      <c r="E587" s="97" t="s">
        <v>14</v>
      </c>
      <c r="F587" s="97" t="s">
        <v>15</v>
      </c>
      <c r="G587" s="98" t="s">
        <v>118</v>
      </c>
    </row>
    <row r="588" spans="3:7" x14ac:dyDescent="0.3">
      <c r="C588" s="99" t="s">
        <v>514</v>
      </c>
      <c r="D588" s="100" t="s">
        <v>515</v>
      </c>
      <c r="E588" s="100">
        <v>0.11</v>
      </c>
      <c r="F588" s="100">
        <v>3.2</v>
      </c>
      <c r="G588" s="101">
        <v>3.88</v>
      </c>
    </row>
    <row r="589" spans="3:7" x14ac:dyDescent="0.3">
      <c r="C589" s="99" t="s">
        <v>516</v>
      </c>
      <c r="D589" s="100" t="s">
        <v>517</v>
      </c>
      <c r="E589" s="100">
        <v>0.11</v>
      </c>
      <c r="F589" s="100">
        <v>3.2</v>
      </c>
      <c r="G589" s="101">
        <v>3.88</v>
      </c>
    </row>
    <row r="590" spans="3:7" x14ac:dyDescent="0.3">
      <c r="C590" s="99" t="s">
        <v>518</v>
      </c>
      <c r="D590" s="104" t="s">
        <v>519</v>
      </c>
      <c r="E590" s="104">
        <v>0.27</v>
      </c>
      <c r="F590" s="104">
        <v>10</v>
      </c>
      <c r="G590" s="105">
        <v>4.87</v>
      </c>
    </row>
    <row r="591" spans="3:7" x14ac:dyDescent="0.3">
      <c r="C591" s="106"/>
      <c r="D591" s="104" t="s">
        <v>520</v>
      </c>
      <c r="E591" s="104">
        <v>0.12</v>
      </c>
      <c r="F591" s="104">
        <v>9</v>
      </c>
      <c r="G591" s="105">
        <v>9.8000000000000007</v>
      </c>
    </row>
    <row r="592" spans="3:7" x14ac:dyDescent="0.3">
      <c r="C592" s="106"/>
      <c r="D592" s="104" t="s">
        <v>521</v>
      </c>
      <c r="E592" s="104">
        <v>0.6</v>
      </c>
      <c r="F592" s="104">
        <v>22</v>
      </c>
      <c r="G592" s="105">
        <v>4.87</v>
      </c>
    </row>
    <row r="593" spans="3:7" x14ac:dyDescent="0.3">
      <c r="C593" s="106"/>
      <c r="D593" s="104" t="s">
        <v>522</v>
      </c>
      <c r="E593" s="104">
        <v>1.64</v>
      </c>
      <c r="F593" s="104">
        <v>60</v>
      </c>
      <c r="G593" s="105">
        <v>4.87</v>
      </c>
    </row>
    <row r="594" spans="3:7" x14ac:dyDescent="0.3">
      <c r="C594" s="106"/>
      <c r="D594" s="104" t="s">
        <v>523</v>
      </c>
      <c r="E594" s="104">
        <v>0.82</v>
      </c>
      <c r="F594" s="104">
        <v>30</v>
      </c>
      <c r="G594" s="105">
        <v>4.87</v>
      </c>
    </row>
    <row r="595" spans="3:7" x14ac:dyDescent="0.3">
      <c r="C595" s="106"/>
      <c r="D595" s="102" t="s">
        <v>524</v>
      </c>
      <c r="E595" s="102">
        <v>2.11</v>
      </c>
      <c r="F595" s="102">
        <v>77</v>
      </c>
      <c r="G595" s="103">
        <v>4.87</v>
      </c>
    </row>
    <row r="596" spans="3:7" x14ac:dyDescent="0.3">
      <c r="C596" s="106"/>
      <c r="D596" s="104" t="s">
        <v>525</v>
      </c>
      <c r="E596" s="104">
        <v>0.19</v>
      </c>
      <c r="F596" s="104">
        <v>6.8959999999999999</v>
      </c>
      <c r="G596" s="105">
        <v>4.87</v>
      </c>
    </row>
    <row r="597" spans="3:7" x14ac:dyDescent="0.3">
      <c r="C597" s="107"/>
      <c r="D597" s="108" t="s">
        <v>526</v>
      </c>
      <c r="E597" s="108">
        <v>0.17</v>
      </c>
      <c r="F597" s="108">
        <v>6.2</v>
      </c>
      <c r="G597" s="109">
        <v>4.87</v>
      </c>
    </row>
    <row r="601" spans="3:7" x14ac:dyDescent="0.3">
      <c r="C601" s="96" t="s">
        <v>527</v>
      </c>
      <c r="D601" s="97" t="s">
        <v>117</v>
      </c>
      <c r="E601" s="97" t="s">
        <v>14</v>
      </c>
      <c r="F601" s="97" t="s">
        <v>15</v>
      </c>
      <c r="G601" s="98" t="s">
        <v>118</v>
      </c>
    </row>
    <row r="602" spans="3:7" x14ac:dyDescent="0.3">
      <c r="C602" s="99" t="s">
        <v>528</v>
      </c>
      <c r="D602" s="104" t="s">
        <v>529</v>
      </c>
      <c r="E602" s="104">
        <v>0.11</v>
      </c>
      <c r="F602" s="104">
        <v>4.0289999999999999</v>
      </c>
      <c r="G602" s="105">
        <v>4.92</v>
      </c>
    </row>
    <row r="603" spans="3:7" x14ac:dyDescent="0.3">
      <c r="C603" s="99" t="s">
        <v>530</v>
      </c>
      <c r="D603" s="100" t="s">
        <v>531</v>
      </c>
      <c r="E603" s="100">
        <v>0.08</v>
      </c>
      <c r="F603" s="100">
        <v>3.1</v>
      </c>
      <c r="G603" s="101">
        <v>4.87</v>
      </c>
    </row>
    <row r="604" spans="3:7" x14ac:dyDescent="0.3">
      <c r="C604" s="99" t="s">
        <v>532</v>
      </c>
      <c r="D604" s="104" t="s">
        <v>533</v>
      </c>
      <c r="E604" s="104">
        <v>0.11</v>
      </c>
      <c r="F604" s="104">
        <v>4.0999999999999996</v>
      </c>
      <c r="G604" s="105">
        <v>4.87</v>
      </c>
    </row>
    <row r="605" spans="3:7" x14ac:dyDescent="0.3">
      <c r="C605" s="107"/>
      <c r="D605" s="110" t="s">
        <v>534</v>
      </c>
      <c r="E605" s="110">
        <v>0.18</v>
      </c>
      <c r="F605" s="110">
        <v>4.5</v>
      </c>
      <c r="G605" s="111">
        <v>3.26</v>
      </c>
    </row>
    <row r="609" spans="3:7" x14ac:dyDescent="0.3">
      <c r="C609" s="96" t="s">
        <v>535</v>
      </c>
      <c r="D609" s="97" t="s">
        <v>117</v>
      </c>
      <c r="E609" s="97" t="s">
        <v>14</v>
      </c>
      <c r="F609" s="97" t="s">
        <v>15</v>
      </c>
      <c r="G609" s="98" t="s">
        <v>118</v>
      </c>
    </row>
    <row r="610" spans="3:7" x14ac:dyDescent="0.3">
      <c r="C610" s="99" t="s">
        <v>536</v>
      </c>
      <c r="D610" s="102" t="s">
        <v>537</v>
      </c>
      <c r="E610" s="102">
        <v>0.16</v>
      </c>
      <c r="F610" s="102">
        <v>6</v>
      </c>
      <c r="G610" s="103">
        <v>4.87</v>
      </c>
    </row>
    <row r="611" spans="3:7" x14ac:dyDescent="0.3">
      <c r="C611" s="99" t="s">
        <v>538</v>
      </c>
      <c r="D611" s="104"/>
      <c r="E611" s="104"/>
      <c r="F611" s="104"/>
      <c r="G611" s="105"/>
    </row>
    <row r="612" spans="3:7" x14ac:dyDescent="0.3">
      <c r="C612" s="114" t="s">
        <v>539</v>
      </c>
      <c r="D612" s="108"/>
      <c r="E612" s="108"/>
      <c r="F612" s="108"/>
      <c r="G612" s="109"/>
    </row>
    <row r="616" spans="3:7" x14ac:dyDescent="0.3">
      <c r="C616" s="96" t="s">
        <v>540</v>
      </c>
      <c r="D616" s="97" t="s">
        <v>117</v>
      </c>
      <c r="E616" s="97" t="s">
        <v>14</v>
      </c>
      <c r="F616" s="97" t="s">
        <v>15</v>
      </c>
      <c r="G616" s="98" t="s">
        <v>118</v>
      </c>
    </row>
    <row r="617" spans="3:7" x14ac:dyDescent="0.3">
      <c r="C617" s="99" t="s">
        <v>541</v>
      </c>
      <c r="D617" s="104" t="s">
        <v>542</v>
      </c>
      <c r="E617" s="104">
        <v>0.06</v>
      </c>
      <c r="F617" s="104">
        <v>14.657999999999999</v>
      </c>
      <c r="G617" s="105">
        <v>33.69</v>
      </c>
    </row>
    <row r="618" spans="3:7" x14ac:dyDescent="0.3">
      <c r="C618" s="99" t="s">
        <v>543</v>
      </c>
      <c r="D618" s="104" t="s">
        <v>544</v>
      </c>
      <c r="E618" s="104">
        <v>0.03</v>
      </c>
      <c r="F618" s="104">
        <v>3.44</v>
      </c>
      <c r="G618" s="105">
        <v>16.46</v>
      </c>
    </row>
    <row r="619" spans="3:7" x14ac:dyDescent="0.3">
      <c r="C619" s="99" t="s">
        <v>545</v>
      </c>
      <c r="D619" s="104" t="s">
        <v>546</v>
      </c>
      <c r="E619" s="104">
        <v>0.01</v>
      </c>
      <c r="F619" s="104">
        <v>0.66</v>
      </c>
      <c r="G619" s="105">
        <v>9.2899999999999991</v>
      </c>
    </row>
    <row r="620" spans="3:7" x14ac:dyDescent="0.3">
      <c r="C620" s="106"/>
      <c r="D620" s="104" t="s">
        <v>547</v>
      </c>
      <c r="E620" s="104">
        <v>0.03</v>
      </c>
      <c r="F620" s="104">
        <v>7.1340000000000003</v>
      </c>
      <c r="G620" s="105">
        <v>30.02</v>
      </c>
    </row>
    <row r="621" spans="3:7" x14ac:dyDescent="0.3">
      <c r="C621" s="106"/>
      <c r="D621" s="104" t="s">
        <v>548</v>
      </c>
      <c r="E621" s="104">
        <v>0.06</v>
      </c>
      <c r="F621" s="104">
        <v>17.568999999999999</v>
      </c>
      <c r="G621" s="105">
        <v>41.26</v>
      </c>
    </row>
    <row r="622" spans="3:7" x14ac:dyDescent="0.3">
      <c r="C622" s="106"/>
      <c r="D622" s="104" t="s">
        <v>549</v>
      </c>
      <c r="E622" s="104">
        <v>0.04</v>
      </c>
      <c r="F622" s="104">
        <v>10.98</v>
      </c>
      <c r="G622" s="105">
        <v>33.22</v>
      </c>
    </row>
    <row r="623" spans="3:7" x14ac:dyDescent="0.3">
      <c r="C623" s="106"/>
      <c r="D623" s="104" t="s">
        <v>547</v>
      </c>
      <c r="E623" s="104">
        <v>0.05</v>
      </c>
      <c r="F623" s="104">
        <v>10.215999999999999</v>
      </c>
      <c r="G623" s="105">
        <v>30.02</v>
      </c>
    </row>
    <row r="624" spans="3:7" x14ac:dyDescent="0.3">
      <c r="C624" s="106"/>
      <c r="D624" s="104" t="s">
        <v>550</v>
      </c>
      <c r="E624" s="104">
        <v>7.0000000000000007E-2</v>
      </c>
      <c r="F624" s="104">
        <v>18.440000000000001</v>
      </c>
      <c r="G624" s="105">
        <v>37.5</v>
      </c>
    </row>
    <row r="625" spans="3:7" x14ac:dyDescent="0.3">
      <c r="C625" s="106"/>
      <c r="D625" s="104" t="s">
        <v>550</v>
      </c>
      <c r="E625" s="104">
        <v>0.02</v>
      </c>
      <c r="F625" s="104">
        <v>4.5999999999999996</v>
      </c>
      <c r="G625" s="105">
        <v>37.5</v>
      </c>
    </row>
    <row r="626" spans="3:7" x14ac:dyDescent="0.3">
      <c r="C626" s="106"/>
      <c r="D626" s="104" t="s">
        <v>551</v>
      </c>
      <c r="E626" s="104">
        <v>0.01</v>
      </c>
      <c r="F626" s="104">
        <v>3.597</v>
      </c>
      <c r="G626" s="105">
        <v>32.24</v>
      </c>
    </row>
    <row r="627" spans="3:7" x14ac:dyDescent="0.3">
      <c r="C627" s="106"/>
      <c r="D627" s="104" t="s">
        <v>549</v>
      </c>
      <c r="E627" s="104">
        <v>0.03</v>
      </c>
      <c r="F627" s="104">
        <v>7.3109999999999999</v>
      </c>
      <c r="G627" s="105">
        <v>33.22</v>
      </c>
    </row>
    <row r="628" spans="3:7" x14ac:dyDescent="0.3">
      <c r="C628" s="106"/>
      <c r="D628" s="104" t="s">
        <v>552</v>
      </c>
      <c r="E628" s="104">
        <v>0.06</v>
      </c>
      <c r="F628" s="104">
        <v>12.928000000000001</v>
      </c>
      <c r="G628" s="105">
        <v>28.84</v>
      </c>
    </row>
    <row r="629" spans="3:7" x14ac:dyDescent="0.3">
      <c r="C629" s="106"/>
      <c r="D629" s="104" t="s">
        <v>551</v>
      </c>
      <c r="E629" s="104">
        <v>0.01</v>
      </c>
      <c r="F629" s="104">
        <v>3.26</v>
      </c>
      <c r="G629" s="105">
        <v>32.24</v>
      </c>
    </row>
    <row r="630" spans="3:7" x14ac:dyDescent="0.3">
      <c r="C630" s="106"/>
      <c r="D630" s="104" t="s">
        <v>553</v>
      </c>
      <c r="E630" s="104">
        <v>0.02</v>
      </c>
      <c r="F630" s="104">
        <v>3.94</v>
      </c>
      <c r="G630" s="105">
        <v>30.82</v>
      </c>
    </row>
    <row r="631" spans="3:7" x14ac:dyDescent="0.3">
      <c r="C631" s="106"/>
      <c r="D631" s="104" t="s">
        <v>554</v>
      </c>
      <c r="E631" s="104">
        <v>0.08</v>
      </c>
      <c r="F631" s="104">
        <v>13.651999999999999</v>
      </c>
      <c r="G631" s="105">
        <v>24.24</v>
      </c>
    </row>
    <row r="632" spans="3:7" x14ac:dyDescent="0.3">
      <c r="C632" s="106"/>
      <c r="D632" s="104" t="s">
        <v>555</v>
      </c>
      <c r="E632" s="104">
        <v>0</v>
      </c>
      <c r="F632" s="104">
        <v>0.23499999999999999</v>
      </c>
      <c r="G632" s="105">
        <v>41.78</v>
      </c>
    </row>
    <row r="633" spans="3:7" x14ac:dyDescent="0.3">
      <c r="C633" s="106"/>
      <c r="D633" s="104" t="s">
        <v>556</v>
      </c>
      <c r="E633" s="104">
        <v>0</v>
      </c>
      <c r="F633" s="104">
        <v>0.04</v>
      </c>
      <c r="G633" s="105">
        <v>30.29</v>
      </c>
    </row>
    <row r="634" spans="3:7" x14ac:dyDescent="0.3">
      <c r="C634" s="106"/>
      <c r="D634" s="104" t="s">
        <v>557</v>
      </c>
      <c r="E634" s="104">
        <v>0.11</v>
      </c>
      <c r="F634" s="104">
        <v>19</v>
      </c>
      <c r="G634" s="105">
        <v>24.05</v>
      </c>
    </row>
    <row r="635" spans="3:7" x14ac:dyDescent="0.3">
      <c r="C635" s="106"/>
      <c r="D635" s="104" t="s">
        <v>551</v>
      </c>
      <c r="E635" s="104">
        <v>0.08</v>
      </c>
      <c r="F635" s="104">
        <v>19.817</v>
      </c>
      <c r="G635" s="105">
        <v>32.24</v>
      </c>
    </row>
    <row r="636" spans="3:7" x14ac:dyDescent="0.3">
      <c r="C636" s="106"/>
      <c r="D636" s="104" t="s">
        <v>557</v>
      </c>
      <c r="E636" s="104">
        <v>0.03</v>
      </c>
      <c r="F636" s="104">
        <v>5.28</v>
      </c>
      <c r="G636" s="105">
        <v>24.05</v>
      </c>
    </row>
    <row r="637" spans="3:7" x14ac:dyDescent="0.3">
      <c r="C637" s="106"/>
      <c r="D637" s="104" t="s">
        <v>558</v>
      </c>
      <c r="E637" s="104">
        <v>0.08</v>
      </c>
      <c r="F637" s="104">
        <v>19.033999999999999</v>
      </c>
      <c r="G637" s="105">
        <v>33.69</v>
      </c>
    </row>
    <row r="638" spans="3:7" x14ac:dyDescent="0.3">
      <c r="C638" s="106"/>
      <c r="D638" s="104" t="s">
        <v>559</v>
      </c>
      <c r="E638" s="104">
        <v>0</v>
      </c>
      <c r="F638" s="104">
        <v>3.1E-2</v>
      </c>
      <c r="G638" s="105">
        <v>31.72</v>
      </c>
    </row>
    <row r="639" spans="3:7" x14ac:dyDescent="0.3">
      <c r="C639" s="106"/>
      <c r="D639" s="104" t="s">
        <v>560</v>
      </c>
      <c r="E639" s="104">
        <v>0.1</v>
      </c>
      <c r="F639" s="104">
        <v>5.4649999999999999</v>
      </c>
      <c r="G639" s="105">
        <v>7.03</v>
      </c>
    </row>
    <row r="640" spans="3:7" x14ac:dyDescent="0.3">
      <c r="C640" s="106"/>
      <c r="D640" s="104" t="s">
        <v>561</v>
      </c>
      <c r="E640" s="104">
        <v>0.05</v>
      </c>
      <c r="F640" s="104">
        <v>13.5</v>
      </c>
      <c r="G640" s="105">
        <v>33.69</v>
      </c>
    </row>
    <row r="641" spans="3:7" x14ac:dyDescent="0.3">
      <c r="C641" s="106"/>
      <c r="D641" s="104" t="s">
        <v>562</v>
      </c>
      <c r="E641" s="104">
        <v>0.11</v>
      </c>
      <c r="F641" s="104">
        <v>13.456</v>
      </c>
      <c r="G641" s="105">
        <v>16.440000000000001</v>
      </c>
    </row>
    <row r="642" spans="3:7" x14ac:dyDescent="0.3">
      <c r="C642" s="106"/>
      <c r="D642" s="104" t="s">
        <v>563</v>
      </c>
      <c r="E642" s="104">
        <v>0.09</v>
      </c>
      <c r="F642" s="104">
        <v>10.66</v>
      </c>
      <c r="G642" s="105">
        <v>15.51</v>
      </c>
    </row>
    <row r="643" spans="3:7" x14ac:dyDescent="0.3">
      <c r="C643" s="106"/>
      <c r="D643" s="104" t="s">
        <v>564</v>
      </c>
      <c r="E643" s="104">
        <v>0.11</v>
      </c>
      <c r="F643" s="104">
        <v>11.734999999999999</v>
      </c>
      <c r="G643" s="105">
        <v>14.15</v>
      </c>
    </row>
    <row r="644" spans="3:7" x14ac:dyDescent="0.3">
      <c r="C644" s="106"/>
      <c r="D644" s="104" t="s">
        <v>565</v>
      </c>
      <c r="E644" s="104">
        <v>0.15</v>
      </c>
      <c r="F644" s="104">
        <v>19.928000000000001</v>
      </c>
      <c r="G644" s="105">
        <v>17.23</v>
      </c>
    </row>
    <row r="645" spans="3:7" x14ac:dyDescent="0.3">
      <c r="C645" s="106"/>
      <c r="D645" s="104" t="s">
        <v>566</v>
      </c>
      <c r="E645" s="104">
        <v>7.0000000000000007E-2</v>
      </c>
      <c r="F645" s="104">
        <v>16.302</v>
      </c>
      <c r="G645" s="105">
        <v>30.92</v>
      </c>
    </row>
    <row r="646" spans="3:7" x14ac:dyDescent="0.3">
      <c r="C646" s="106"/>
      <c r="D646" s="100" t="s">
        <v>567</v>
      </c>
      <c r="E646" s="100">
        <v>0</v>
      </c>
      <c r="F646" s="100">
        <v>0.02</v>
      </c>
      <c r="G646" s="101">
        <v>44.15</v>
      </c>
    </row>
    <row r="647" spans="3:7" x14ac:dyDescent="0.3">
      <c r="C647" s="106"/>
      <c r="D647" s="104" t="s">
        <v>568</v>
      </c>
      <c r="E647" s="104">
        <v>7.0000000000000007E-2</v>
      </c>
      <c r="F647" s="104">
        <v>16.760000000000002</v>
      </c>
      <c r="G647" s="105">
        <v>33.69</v>
      </c>
    </row>
    <row r="648" spans="3:7" x14ac:dyDescent="0.3">
      <c r="C648" s="106"/>
      <c r="D648" s="104" t="s">
        <v>567</v>
      </c>
      <c r="E648" s="104">
        <v>0.04</v>
      </c>
      <c r="F648" s="104">
        <v>12.92</v>
      </c>
      <c r="G648" s="105">
        <v>44.15</v>
      </c>
    </row>
    <row r="649" spans="3:7" x14ac:dyDescent="0.3">
      <c r="C649" s="106"/>
      <c r="D649" s="104" t="s">
        <v>569</v>
      </c>
      <c r="E649" s="104">
        <v>0</v>
      </c>
      <c r="F649" s="104">
        <v>3.6999999999999998E-2</v>
      </c>
      <c r="G649" s="105">
        <v>17.32</v>
      </c>
    </row>
    <row r="650" spans="3:7" x14ac:dyDescent="0.3">
      <c r="C650" s="106"/>
      <c r="D650" s="104" t="s">
        <v>570</v>
      </c>
      <c r="E650" s="104">
        <v>0.06</v>
      </c>
      <c r="F650" s="104">
        <v>14.475</v>
      </c>
      <c r="G650" s="105">
        <v>33.69</v>
      </c>
    </row>
    <row r="651" spans="3:7" x14ac:dyDescent="0.3">
      <c r="C651" s="106"/>
      <c r="D651" s="104" t="s">
        <v>571</v>
      </c>
      <c r="E651" s="104">
        <v>7.0000000000000007E-2</v>
      </c>
      <c r="F651" s="104">
        <v>9.41</v>
      </c>
      <c r="G651" s="105">
        <v>18.2</v>
      </c>
    </row>
    <row r="652" spans="3:7" x14ac:dyDescent="0.3">
      <c r="C652" s="106"/>
      <c r="D652" s="104" t="s">
        <v>572</v>
      </c>
      <c r="E652" s="104">
        <v>0.08</v>
      </c>
      <c r="F652" s="104">
        <v>19.739999999999998</v>
      </c>
      <c r="G652" s="105">
        <v>33.69</v>
      </c>
    </row>
    <row r="653" spans="3:7" x14ac:dyDescent="0.3">
      <c r="C653" s="106"/>
      <c r="D653" s="104" t="s">
        <v>573</v>
      </c>
      <c r="E653" s="104">
        <v>0.05</v>
      </c>
      <c r="F653" s="104">
        <v>17.186</v>
      </c>
      <c r="G653" s="105">
        <v>45.41</v>
      </c>
    </row>
    <row r="654" spans="3:7" x14ac:dyDescent="0.3">
      <c r="C654" s="106"/>
      <c r="D654" s="104" t="s">
        <v>574</v>
      </c>
      <c r="E654" s="104">
        <v>0.08</v>
      </c>
      <c r="F654" s="104">
        <v>11.63</v>
      </c>
      <c r="G654" s="105">
        <v>20.38</v>
      </c>
    </row>
    <row r="655" spans="3:7" x14ac:dyDescent="0.3">
      <c r="C655" s="106"/>
      <c r="D655" s="104" t="s">
        <v>575</v>
      </c>
      <c r="E655" s="104">
        <v>0.06</v>
      </c>
      <c r="F655" s="104">
        <v>10.701000000000001</v>
      </c>
      <c r="G655" s="105">
        <v>24.93</v>
      </c>
    </row>
    <row r="656" spans="3:7" x14ac:dyDescent="0.3">
      <c r="C656" s="106"/>
      <c r="D656" s="104" t="s">
        <v>576</v>
      </c>
      <c r="E656" s="104">
        <v>0.56999999999999995</v>
      </c>
      <c r="F656" s="104">
        <v>16.43</v>
      </c>
      <c r="G656" s="105">
        <v>3.84</v>
      </c>
    </row>
    <row r="657" spans="3:7" x14ac:dyDescent="0.3">
      <c r="C657" s="106"/>
      <c r="D657" s="104" t="s">
        <v>577</v>
      </c>
      <c r="E657" s="104">
        <v>0.04</v>
      </c>
      <c r="F657" s="104">
        <v>11.525</v>
      </c>
      <c r="G657" s="105">
        <v>36.479999999999997</v>
      </c>
    </row>
    <row r="658" spans="3:7" x14ac:dyDescent="0.3">
      <c r="C658" s="106"/>
      <c r="D658" s="104" t="s">
        <v>578</v>
      </c>
      <c r="E658" s="104">
        <v>0.17</v>
      </c>
      <c r="F658" s="104">
        <v>13.88</v>
      </c>
      <c r="G658" s="105">
        <v>11.16</v>
      </c>
    </row>
    <row r="659" spans="3:7" x14ac:dyDescent="0.3">
      <c r="C659" s="106"/>
      <c r="D659" s="104" t="s">
        <v>579</v>
      </c>
      <c r="E659" s="104">
        <v>0</v>
      </c>
      <c r="F659" s="104">
        <v>0.154</v>
      </c>
      <c r="G659" s="105">
        <v>43.1</v>
      </c>
    </row>
    <row r="660" spans="3:7" x14ac:dyDescent="0.3">
      <c r="C660" s="106"/>
      <c r="D660" s="104" t="s">
        <v>567</v>
      </c>
      <c r="E660" s="104">
        <v>0.04</v>
      </c>
      <c r="F660" s="104">
        <v>14.51</v>
      </c>
      <c r="G660" s="105">
        <v>44.15</v>
      </c>
    </row>
    <row r="661" spans="3:7" x14ac:dyDescent="0.3">
      <c r="C661" s="106"/>
      <c r="D661" s="104" t="s">
        <v>580</v>
      </c>
      <c r="E661" s="104">
        <v>0.03</v>
      </c>
      <c r="F661" s="104">
        <v>6.95</v>
      </c>
      <c r="G661" s="105">
        <v>26.85</v>
      </c>
    </row>
    <row r="662" spans="3:7" x14ac:dyDescent="0.3">
      <c r="C662" s="106"/>
      <c r="D662" s="104" t="s">
        <v>581</v>
      </c>
      <c r="E662" s="104">
        <v>0.03</v>
      </c>
      <c r="F662" s="104">
        <v>12.53</v>
      </c>
      <c r="G662" s="105">
        <v>58.08</v>
      </c>
    </row>
    <row r="663" spans="3:7" x14ac:dyDescent="0.3">
      <c r="C663" s="106"/>
      <c r="D663" s="104" t="s">
        <v>582</v>
      </c>
      <c r="E663" s="104">
        <v>0.04</v>
      </c>
      <c r="F663" s="104">
        <v>13.72</v>
      </c>
      <c r="G663" s="105">
        <v>43.17</v>
      </c>
    </row>
    <row r="664" spans="3:7" x14ac:dyDescent="0.3">
      <c r="C664" s="106"/>
      <c r="D664" s="104" t="s">
        <v>583</v>
      </c>
      <c r="E664" s="104">
        <v>0.06</v>
      </c>
      <c r="F664" s="104">
        <v>15.04</v>
      </c>
      <c r="G664" s="105">
        <v>33.69</v>
      </c>
    </row>
    <row r="665" spans="3:7" x14ac:dyDescent="0.3">
      <c r="C665" s="106"/>
      <c r="D665" s="104" t="s">
        <v>583</v>
      </c>
      <c r="E665" s="104">
        <v>7.0000000000000007E-2</v>
      </c>
      <c r="F665" s="104">
        <v>18.605</v>
      </c>
      <c r="G665" s="105">
        <v>33.69</v>
      </c>
    </row>
    <row r="666" spans="3:7" x14ac:dyDescent="0.3">
      <c r="C666" s="106"/>
      <c r="D666" s="104" t="s">
        <v>584</v>
      </c>
      <c r="E666" s="104">
        <v>7.0000000000000007E-2</v>
      </c>
      <c r="F666" s="104">
        <v>17.972000000000001</v>
      </c>
      <c r="G666" s="105">
        <v>33.69</v>
      </c>
    </row>
    <row r="667" spans="3:7" x14ac:dyDescent="0.3">
      <c r="C667" s="106"/>
      <c r="D667" s="104" t="s">
        <v>584</v>
      </c>
      <c r="E667" s="104">
        <v>7.0000000000000007E-2</v>
      </c>
      <c r="F667" s="104">
        <v>17.972000000000001</v>
      </c>
      <c r="G667" s="105">
        <v>33.69</v>
      </c>
    </row>
    <row r="668" spans="3:7" x14ac:dyDescent="0.3">
      <c r="C668" s="106"/>
      <c r="D668" s="104" t="s">
        <v>584</v>
      </c>
      <c r="E668" s="104">
        <v>7.0000000000000007E-2</v>
      </c>
      <c r="F668" s="104">
        <v>17.972000000000001</v>
      </c>
      <c r="G668" s="105">
        <v>33.69</v>
      </c>
    </row>
    <row r="669" spans="3:7" x14ac:dyDescent="0.3">
      <c r="C669" s="106"/>
      <c r="D669" s="104" t="s">
        <v>585</v>
      </c>
      <c r="E669" s="104">
        <v>0.05</v>
      </c>
      <c r="F669" s="104">
        <v>10.587</v>
      </c>
      <c r="G669" s="105">
        <v>31.21</v>
      </c>
    </row>
    <row r="670" spans="3:7" x14ac:dyDescent="0.3">
      <c r="C670" s="106"/>
      <c r="D670" s="104" t="s">
        <v>579</v>
      </c>
      <c r="E670" s="104">
        <v>0.04</v>
      </c>
      <c r="F670" s="104">
        <v>11.614000000000001</v>
      </c>
      <c r="G670" s="105">
        <v>43.1</v>
      </c>
    </row>
    <row r="671" spans="3:7" x14ac:dyDescent="0.3">
      <c r="C671" s="106"/>
      <c r="D671" s="104" t="s">
        <v>586</v>
      </c>
      <c r="E671" s="104">
        <v>0.03</v>
      </c>
      <c r="F671" s="104">
        <v>4.7</v>
      </c>
      <c r="G671" s="105">
        <v>23.02</v>
      </c>
    </row>
    <row r="672" spans="3:7" x14ac:dyDescent="0.3">
      <c r="C672" s="106"/>
      <c r="D672" s="104" t="s">
        <v>579</v>
      </c>
      <c r="E672" s="104">
        <v>0.03</v>
      </c>
      <c r="F672" s="104">
        <v>11.1</v>
      </c>
      <c r="G672" s="105">
        <v>43.1</v>
      </c>
    </row>
    <row r="673" spans="3:7" x14ac:dyDescent="0.3">
      <c r="C673" s="106"/>
      <c r="D673" s="104" t="s">
        <v>587</v>
      </c>
      <c r="E673" s="104">
        <v>7.0000000000000007E-2</v>
      </c>
      <c r="F673" s="104">
        <v>17.355</v>
      </c>
      <c r="G673" s="105">
        <v>33.69</v>
      </c>
    </row>
    <row r="674" spans="3:7" x14ac:dyDescent="0.3">
      <c r="C674" s="106"/>
      <c r="D674" s="104" t="s">
        <v>580</v>
      </c>
      <c r="E674" s="104">
        <v>7.0000000000000007E-2</v>
      </c>
      <c r="F674" s="104">
        <v>14.04</v>
      </c>
      <c r="G674" s="105">
        <v>26.85</v>
      </c>
    </row>
    <row r="675" spans="3:7" x14ac:dyDescent="0.3">
      <c r="C675" s="106"/>
      <c r="D675" s="104" t="s">
        <v>580</v>
      </c>
      <c r="E675" s="104">
        <v>7.0000000000000007E-2</v>
      </c>
      <c r="F675" s="104">
        <v>13.74</v>
      </c>
      <c r="G675" s="105">
        <v>26.85</v>
      </c>
    </row>
    <row r="676" spans="3:7" x14ac:dyDescent="0.3">
      <c r="C676" s="106"/>
      <c r="D676" s="104" t="s">
        <v>588</v>
      </c>
      <c r="E676" s="104">
        <v>0.02</v>
      </c>
      <c r="F676" s="104">
        <v>2.5</v>
      </c>
      <c r="G676" s="105">
        <v>20.38</v>
      </c>
    </row>
    <row r="677" spans="3:7" x14ac:dyDescent="0.3">
      <c r="C677" s="106"/>
      <c r="D677" s="104" t="s">
        <v>589</v>
      </c>
      <c r="E677" s="104">
        <v>0.1</v>
      </c>
      <c r="F677" s="104">
        <v>19.7</v>
      </c>
      <c r="G677" s="105">
        <v>25.91</v>
      </c>
    </row>
    <row r="678" spans="3:7" x14ac:dyDescent="0.3">
      <c r="C678" s="106"/>
      <c r="D678" s="102" t="s">
        <v>590</v>
      </c>
      <c r="E678" s="102">
        <v>0.25</v>
      </c>
      <c r="F678" s="102">
        <v>25</v>
      </c>
      <c r="G678" s="103">
        <v>13.19</v>
      </c>
    </row>
    <row r="679" spans="3:7" x14ac:dyDescent="0.3">
      <c r="C679" s="106"/>
      <c r="D679" s="104" t="s">
        <v>591</v>
      </c>
      <c r="E679" s="104">
        <v>0.01</v>
      </c>
      <c r="F679" s="104">
        <v>2.96</v>
      </c>
      <c r="G679" s="105">
        <v>27.91</v>
      </c>
    </row>
    <row r="680" spans="3:7" x14ac:dyDescent="0.3">
      <c r="C680" s="106"/>
      <c r="D680" s="104" t="s">
        <v>592</v>
      </c>
      <c r="E680" s="104">
        <v>0</v>
      </c>
      <c r="F680" s="104">
        <v>0.53</v>
      </c>
      <c r="G680" s="105">
        <v>22.05</v>
      </c>
    </row>
    <row r="681" spans="3:7" x14ac:dyDescent="0.3">
      <c r="C681" s="106"/>
      <c r="D681" s="104" t="s">
        <v>593</v>
      </c>
      <c r="E681" s="104">
        <v>0.01</v>
      </c>
      <c r="F681" s="104">
        <v>1.1100000000000001</v>
      </c>
      <c r="G681" s="105">
        <v>15.48</v>
      </c>
    </row>
    <row r="682" spans="3:7" x14ac:dyDescent="0.3">
      <c r="C682" s="106"/>
      <c r="D682" s="104" t="s">
        <v>594</v>
      </c>
      <c r="E682" s="104">
        <v>0.02</v>
      </c>
      <c r="F682" s="104">
        <v>2.36</v>
      </c>
      <c r="G682" s="105">
        <v>19.399999999999999</v>
      </c>
    </row>
    <row r="683" spans="3:7" x14ac:dyDescent="0.3">
      <c r="C683" s="106"/>
      <c r="D683" s="102" t="s">
        <v>595</v>
      </c>
      <c r="E683" s="102">
        <v>0.21</v>
      </c>
      <c r="F683" s="102">
        <v>25</v>
      </c>
      <c r="G683" s="103">
        <v>15.71</v>
      </c>
    </row>
    <row r="684" spans="3:7" x14ac:dyDescent="0.3">
      <c r="C684" s="106"/>
      <c r="D684" s="104" t="s">
        <v>596</v>
      </c>
      <c r="E684" s="104">
        <v>0</v>
      </c>
      <c r="F684" s="104">
        <v>0.34</v>
      </c>
      <c r="G684" s="105">
        <v>21.71</v>
      </c>
    </row>
    <row r="685" spans="3:7" x14ac:dyDescent="0.3">
      <c r="C685" s="106"/>
      <c r="D685" s="104" t="s">
        <v>597</v>
      </c>
      <c r="E685" s="104">
        <v>0</v>
      </c>
      <c r="F685" s="104">
        <v>0.5</v>
      </c>
      <c r="G685" s="105">
        <v>31.34</v>
      </c>
    </row>
    <row r="686" spans="3:7" x14ac:dyDescent="0.3">
      <c r="C686" s="106"/>
      <c r="D686" s="104" t="s">
        <v>598</v>
      </c>
      <c r="E686" s="104">
        <v>7.0000000000000007E-2</v>
      </c>
      <c r="F686" s="104">
        <v>5.9080000000000004</v>
      </c>
      <c r="G686" s="105">
        <v>10.7</v>
      </c>
    </row>
    <row r="687" spans="3:7" x14ac:dyDescent="0.3">
      <c r="C687" s="107"/>
      <c r="D687" s="108" t="s">
        <v>599</v>
      </c>
      <c r="E687" s="108">
        <v>0.03</v>
      </c>
      <c r="F687" s="108">
        <v>5.6210000000000004</v>
      </c>
      <c r="G687" s="109">
        <v>23.02</v>
      </c>
    </row>
    <row r="691" spans="3:7" x14ac:dyDescent="0.3">
      <c r="C691" s="96" t="s">
        <v>600</v>
      </c>
      <c r="D691" s="97" t="s">
        <v>117</v>
      </c>
      <c r="E691" s="97" t="s">
        <v>14</v>
      </c>
      <c r="F691" s="97" t="s">
        <v>15</v>
      </c>
      <c r="G691" s="98" t="s">
        <v>118</v>
      </c>
    </row>
    <row r="692" spans="3:7" x14ac:dyDescent="0.3">
      <c r="C692" s="99" t="s">
        <v>601</v>
      </c>
      <c r="D692" s="104" t="s">
        <v>585</v>
      </c>
      <c r="E692" s="104">
        <v>7.0000000000000007E-2</v>
      </c>
      <c r="F692" s="104">
        <v>15.404999999999999</v>
      </c>
      <c r="G692" s="105">
        <v>31.21</v>
      </c>
    </row>
    <row r="693" spans="3:7" x14ac:dyDescent="0.3">
      <c r="C693" s="99" t="s">
        <v>602</v>
      </c>
      <c r="D693" s="104" t="s">
        <v>579</v>
      </c>
      <c r="E693" s="104">
        <v>0.05</v>
      </c>
      <c r="F693" s="104">
        <v>15.18</v>
      </c>
      <c r="G693" s="105">
        <v>43.1</v>
      </c>
    </row>
    <row r="694" spans="3:7" x14ac:dyDescent="0.3">
      <c r="C694" s="99" t="s">
        <v>603</v>
      </c>
      <c r="D694" s="104" t="s">
        <v>604</v>
      </c>
      <c r="E694" s="104">
        <v>0.14000000000000001</v>
      </c>
      <c r="F694" s="104">
        <v>36.515000000000001</v>
      </c>
      <c r="G694" s="105">
        <v>33.69</v>
      </c>
    </row>
    <row r="695" spans="3:7" x14ac:dyDescent="0.3">
      <c r="C695" s="106"/>
      <c r="D695" s="102" t="s">
        <v>589</v>
      </c>
      <c r="E695" s="102">
        <v>0.33</v>
      </c>
      <c r="F695" s="102">
        <v>64.182000000000002</v>
      </c>
      <c r="G695" s="103">
        <v>25.91</v>
      </c>
    </row>
    <row r="696" spans="3:7" x14ac:dyDescent="0.3">
      <c r="C696" s="106"/>
      <c r="D696" s="104" t="s">
        <v>605</v>
      </c>
      <c r="E696" s="104">
        <v>0.06</v>
      </c>
      <c r="F696" s="104">
        <v>22.69</v>
      </c>
      <c r="G696" s="105">
        <v>47.54</v>
      </c>
    </row>
    <row r="697" spans="3:7" x14ac:dyDescent="0.3">
      <c r="C697" s="106"/>
      <c r="D697" s="104" t="s">
        <v>606</v>
      </c>
      <c r="E697" s="104">
        <v>0.09</v>
      </c>
      <c r="F697" s="104">
        <v>24.88</v>
      </c>
      <c r="G697" s="105">
        <v>38.67</v>
      </c>
    </row>
    <row r="698" spans="3:7" x14ac:dyDescent="0.3">
      <c r="C698" s="106"/>
      <c r="D698" s="104" t="s">
        <v>607</v>
      </c>
      <c r="E698" s="104">
        <v>0.09</v>
      </c>
      <c r="F698" s="104">
        <v>22.48</v>
      </c>
      <c r="G698" s="105">
        <v>33.409999999999997</v>
      </c>
    </row>
    <row r="699" spans="3:7" x14ac:dyDescent="0.3">
      <c r="C699" s="106"/>
      <c r="D699" s="104" t="s">
        <v>567</v>
      </c>
      <c r="E699" s="104">
        <v>0.09</v>
      </c>
      <c r="F699" s="104">
        <v>28.22</v>
      </c>
      <c r="G699" s="105">
        <v>44.15</v>
      </c>
    </row>
    <row r="700" spans="3:7" x14ac:dyDescent="0.3">
      <c r="C700" s="106"/>
      <c r="D700" s="104" t="s">
        <v>608</v>
      </c>
      <c r="E700" s="104">
        <v>0.11</v>
      </c>
      <c r="F700" s="104">
        <v>24</v>
      </c>
      <c r="G700" s="105">
        <v>29.12</v>
      </c>
    </row>
    <row r="701" spans="3:7" x14ac:dyDescent="0.3">
      <c r="C701" s="106"/>
      <c r="D701" s="104" t="s">
        <v>609</v>
      </c>
      <c r="E701" s="104">
        <v>0.15</v>
      </c>
      <c r="F701" s="104">
        <v>24</v>
      </c>
      <c r="G701" s="105">
        <v>21.27</v>
      </c>
    </row>
    <row r="702" spans="3:7" x14ac:dyDescent="0.3">
      <c r="C702" s="106"/>
      <c r="D702" s="104" t="s">
        <v>610</v>
      </c>
      <c r="E702" s="104">
        <v>0.02</v>
      </c>
      <c r="F702" s="104">
        <v>7</v>
      </c>
      <c r="G702" s="105">
        <v>40.630000000000003</v>
      </c>
    </row>
    <row r="703" spans="3:7" x14ac:dyDescent="0.3">
      <c r="C703" s="106"/>
      <c r="D703" s="104" t="s">
        <v>611</v>
      </c>
      <c r="E703" s="104">
        <v>0.21</v>
      </c>
      <c r="F703" s="104">
        <v>35</v>
      </c>
      <c r="G703" s="105">
        <v>21.87</v>
      </c>
    </row>
    <row r="704" spans="3:7" x14ac:dyDescent="0.3">
      <c r="C704" s="106"/>
      <c r="D704" s="104" t="s">
        <v>612</v>
      </c>
      <c r="E704" s="104">
        <v>0.25</v>
      </c>
      <c r="F704" s="104">
        <v>12</v>
      </c>
      <c r="G704" s="105">
        <v>6.45</v>
      </c>
    </row>
    <row r="705" spans="3:7" x14ac:dyDescent="0.3">
      <c r="C705" s="106"/>
      <c r="D705" s="104" t="s">
        <v>591</v>
      </c>
      <c r="E705" s="104">
        <v>7.0000000000000007E-2</v>
      </c>
      <c r="F705" s="104">
        <v>14</v>
      </c>
      <c r="G705" s="105">
        <v>27.91</v>
      </c>
    </row>
    <row r="706" spans="3:7" x14ac:dyDescent="0.3">
      <c r="C706" s="106"/>
      <c r="D706" s="104" t="s">
        <v>592</v>
      </c>
      <c r="E706" s="104">
        <v>0.08</v>
      </c>
      <c r="F706" s="104">
        <v>14</v>
      </c>
      <c r="G706" s="105">
        <v>22.05</v>
      </c>
    </row>
    <row r="707" spans="3:7" x14ac:dyDescent="0.3">
      <c r="C707" s="106"/>
      <c r="D707" s="104" t="s">
        <v>613</v>
      </c>
      <c r="E707" s="104">
        <v>0.09</v>
      </c>
      <c r="F707" s="104">
        <v>14</v>
      </c>
      <c r="G707" s="105">
        <v>20.170000000000002</v>
      </c>
    </row>
    <row r="708" spans="3:7" x14ac:dyDescent="0.3">
      <c r="C708" s="106"/>
      <c r="D708" s="104" t="s">
        <v>593</v>
      </c>
      <c r="E708" s="104">
        <v>0.12</v>
      </c>
      <c r="F708" s="104">
        <v>14</v>
      </c>
      <c r="G708" s="105">
        <v>15.48</v>
      </c>
    </row>
    <row r="709" spans="3:7" x14ac:dyDescent="0.3">
      <c r="C709" s="106"/>
      <c r="D709" s="104" t="s">
        <v>594</v>
      </c>
      <c r="E709" s="104">
        <v>0.1</v>
      </c>
      <c r="F709" s="104">
        <v>14</v>
      </c>
      <c r="G709" s="105">
        <v>19.399999999999999</v>
      </c>
    </row>
    <row r="710" spans="3:7" x14ac:dyDescent="0.3">
      <c r="C710" s="106"/>
      <c r="D710" s="104" t="s">
        <v>614</v>
      </c>
      <c r="E710" s="104">
        <v>0.08</v>
      </c>
      <c r="F710" s="104">
        <v>12.5</v>
      </c>
      <c r="G710" s="105">
        <v>21.26</v>
      </c>
    </row>
    <row r="711" spans="3:7" x14ac:dyDescent="0.3">
      <c r="C711" s="106"/>
      <c r="D711" s="104" t="s">
        <v>615</v>
      </c>
      <c r="E711" s="104">
        <v>0.08</v>
      </c>
      <c r="F711" s="104">
        <v>10</v>
      </c>
      <c r="G711" s="105">
        <v>15.94</v>
      </c>
    </row>
    <row r="712" spans="3:7" x14ac:dyDescent="0.3">
      <c r="C712" s="106"/>
      <c r="D712" s="104" t="s">
        <v>596</v>
      </c>
      <c r="E712" s="104">
        <v>0.09</v>
      </c>
      <c r="F712" s="104">
        <v>14</v>
      </c>
      <c r="G712" s="105">
        <v>21.71</v>
      </c>
    </row>
    <row r="713" spans="3:7" x14ac:dyDescent="0.3">
      <c r="C713" s="106"/>
      <c r="D713" s="100" t="s">
        <v>597</v>
      </c>
      <c r="E713" s="100">
        <v>0.01</v>
      </c>
      <c r="F713" s="100">
        <v>2</v>
      </c>
      <c r="G713" s="101">
        <v>31.34</v>
      </c>
    </row>
    <row r="714" spans="3:7" x14ac:dyDescent="0.3">
      <c r="C714" s="106"/>
      <c r="D714" s="104" t="s">
        <v>616</v>
      </c>
      <c r="E714" s="104">
        <v>0.03</v>
      </c>
      <c r="F714" s="104">
        <v>3</v>
      </c>
      <c r="G714" s="105">
        <v>13.09</v>
      </c>
    </row>
    <row r="715" spans="3:7" x14ac:dyDescent="0.3">
      <c r="C715" s="106"/>
      <c r="D715" s="104" t="s">
        <v>598</v>
      </c>
      <c r="E715" s="104">
        <v>0.12</v>
      </c>
      <c r="F715" s="104">
        <v>9.8379999999999992</v>
      </c>
      <c r="G715" s="105">
        <v>10.7</v>
      </c>
    </row>
    <row r="716" spans="3:7" x14ac:dyDescent="0.3">
      <c r="C716" s="106"/>
      <c r="D716" s="104" t="s">
        <v>617</v>
      </c>
      <c r="E716" s="104">
        <v>0.02</v>
      </c>
      <c r="F716" s="104">
        <v>6</v>
      </c>
      <c r="G716" s="105">
        <v>50.84</v>
      </c>
    </row>
    <row r="717" spans="3:7" x14ac:dyDescent="0.3">
      <c r="C717" s="106"/>
      <c r="D717" s="104" t="s">
        <v>618</v>
      </c>
      <c r="E717" s="104">
        <v>0.05</v>
      </c>
      <c r="F717" s="104">
        <v>12</v>
      </c>
      <c r="G717" s="105">
        <v>31.38</v>
      </c>
    </row>
    <row r="718" spans="3:7" x14ac:dyDescent="0.3">
      <c r="C718" s="107"/>
      <c r="D718" s="108" t="s">
        <v>599</v>
      </c>
      <c r="E718" s="108">
        <v>0.02</v>
      </c>
      <c r="F718" s="108">
        <v>3.738</v>
      </c>
      <c r="G718" s="109">
        <v>23.02</v>
      </c>
    </row>
    <row r="722" spans="3:7" x14ac:dyDescent="0.3">
      <c r="C722" s="96" t="s">
        <v>619</v>
      </c>
      <c r="D722" s="97" t="s">
        <v>117</v>
      </c>
      <c r="E722" s="97" t="s">
        <v>14</v>
      </c>
      <c r="F722" s="97" t="s">
        <v>15</v>
      </c>
      <c r="G722" s="98" t="s">
        <v>118</v>
      </c>
    </row>
    <row r="723" spans="3:7" x14ac:dyDescent="0.3">
      <c r="C723" s="99" t="s">
        <v>620</v>
      </c>
      <c r="D723" s="104" t="s">
        <v>621</v>
      </c>
      <c r="E723" s="104">
        <v>0.18</v>
      </c>
      <c r="F723" s="104">
        <v>24.545999999999999</v>
      </c>
      <c r="G723" s="105">
        <v>18.13</v>
      </c>
    </row>
    <row r="724" spans="3:7" x14ac:dyDescent="0.3">
      <c r="C724" s="99" t="s">
        <v>622</v>
      </c>
      <c r="D724" s="104" t="s">
        <v>623</v>
      </c>
      <c r="E724" s="104">
        <v>0.13</v>
      </c>
      <c r="F724" s="104">
        <v>12.159000000000001</v>
      </c>
      <c r="G724" s="105">
        <v>12.05</v>
      </c>
    </row>
    <row r="725" spans="3:7" x14ac:dyDescent="0.3">
      <c r="C725" s="99" t="s">
        <v>624</v>
      </c>
      <c r="D725" s="104" t="s">
        <v>567</v>
      </c>
      <c r="E725" s="104">
        <v>0.09</v>
      </c>
      <c r="F725" s="104">
        <v>28.52</v>
      </c>
      <c r="G725" s="105">
        <v>44.15</v>
      </c>
    </row>
    <row r="726" spans="3:7" x14ac:dyDescent="0.3">
      <c r="C726" s="106"/>
      <c r="D726" s="102" t="s">
        <v>606</v>
      </c>
      <c r="E726" s="102">
        <v>0.15</v>
      </c>
      <c r="F726" s="102">
        <v>44.295999999999999</v>
      </c>
      <c r="G726" s="103">
        <v>38.67</v>
      </c>
    </row>
    <row r="727" spans="3:7" x14ac:dyDescent="0.3">
      <c r="C727" s="106"/>
      <c r="D727" s="104" t="s">
        <v>625</v>
      </c>
      <c r="E727" s="104">
        <v>0.01</v>
      </c>
      <c r="F727" s="104">
        <v>1.2250000000000001</v>
      </c>
      <c r="G727" s="105">
        <v>20.38</v>
      </c>
    </row>
    <row r="728" spans="3:7" x14ac:dyDescent="0.3">
      <c r="C728" s="106"/>
      <c r="D728" s="104" t="s">
        <v>626</v>
      </c>
      <c r="E728" s="104">
        <v>0.01</v>
      </c>
      <c r="F728" s="104">
        <v>1.37</v>
      </c>
      <c r="G728" s="105">
        <v>20.38</v>
      </c>
    </row>
    <row r="729" spans="3:7" x14ac:dyDescent="0.3">
      <c r="C729" s="106"/>
      <c r="D729" s="100" t="s">
        <v>627</v>
      </c>
      <c r="E729" s="100">
        <v>0</v>
      </c>
      <c r="F729" s="100">
        <v>0.35</v>
      </c>
      <c r="G729" s="101">
        <v>20.38</v>
      </c>
    </row>
    <row r="730" spans="3:7" x14ac:dyDescent="0.3">
      <c r="C730" s="106"/>
      <c r="D730" s="104" t="s">
        <v>628</v>
      </c>
      <c r="E730" s="104">
        <v>0</v>
      </c>
      <c r="F730" s="104">
        <v>0.52500000000000002</v>
      </c>
      <c r="G730" s="105">
        <v>20.38</v>
      </c>
    </row>
    <row r="731" spans="3:7" x14ac:dyDescent="0.3">
      <c r="C731" s="106"/>
      <c r="D731" s="104" t="s">
        <v>607</v>
      </c>
      <c r="E731" s="104">
        <v>0.12</v>
      </c>
      <c r="F731" s="104">
        <v>29.59</v>
      </c>
      <c r="G731" s="105">
        <v>33.409999999999997</v>
      </c>
    </row>
    <row r="732" spans="3:7" x14ac:dyDescent="0.3">
      <c r="C732" s="106"/>
      <c r="D732" s="104" t="s">
        <v>569</v>
      </c>
      <c r="E732" s="104">
        <v>0.19</v>
      </c>
      <c r="F732" s="104">
        <v>24.15</v>
      </c>
      <c r="G732" s="105">
        <v>17.32</v>
      </c>
    </row>
    <row r="733" spans="3:7" x14ac:dyDescent="0.3">
      <c r="C733" s="106"/>
      <c r="D733" s="104" t="s">
        <v>629</v>
      </c>
      <c r="E733" s="104">
        <v>0.1</v>
      </c>
      <c r="F733" s="104">
        <v>20.190000000000001</v>
      </c>
      <c r="G733" s="105">
        <v>27.21</v>
      </c>
    </row>
    <row r="734" spans="3:7" x14ac:dyDescent="0.3">
      <c r="C734" s="106"/>
      <c r="D734" s="104" t="s">
        <v>580</v>
      </c>
      <c r="E734" s="104">
        <v>0.12</v>
      </c>
      <c r="F734" s="104">
        <v>23.46</v>
      </c>
      <c r="G734" s="105">
        <v>26.85</v>
      </c>
    </row>
    <row r="735" spans="3:7" x14ac:dyDescent="0.3">
      <c r="C735" s="106"/>
      <c r="D735" s="104" t="s">
        <v>587</v>
      </c>
      <c r="E735" s="104">
        <v>0.05</v>
      </c>
      <c r="F735" s="104">
        <v>12.7</v>
      </c>
      <c r="G735" s="105">
        <v>33.69</v>
      </c>
    </row>
    <row r="736" spans="3:7" x14ac:dyDescent="0.3">
      <c r="C736" s="106"/>
      <c r="D736" s="104" t="s">
        <v>630</v>
      </c>
      <c r="E736" s="104">
        <v>0.02</v>
      </c>
      <c r="F736" s="104">
        <v>2.6</v>
      </c>
      <c r="G736" s="105">
        <v>20.38</v>
      </c>
    </row>
    <row r="737" spans="3:7" x14ac:dyDescent="0.3">
      <c r="C737" s="106"/>
      <c r="D737" s="104" t="s">
        <v>608</v>
      </c>
      <c r="E737" s="104">
        <v>0.11</v>
      </c>
      <c r="F737" s="104">
        <v>24</v>
      </c>
      <c r="G737" s="105">
        <v>29.12</v>
      </c>
    </row>
    <row r="738" spans="3:7" x14ac:dyDescent="0.3">
      <c r="C738" s="106"/>
      <c r="D738" s="104" t="s">
        <v>631</v>
      </c>
      <c r="E738" s="104">
        <v>0.25</v>
      </c>
      <c r="F738" s="104">
        <v>41.95</v>
      </c>
      <c r="G738" s="105">
        <v>22.58</v>
      </c>
    </row>
    <row r="739" spans="3:7" x14ac:dyDescent="0.3">
      <c r="C739" s="106"/>
      <c r="D739" s="104" t="s">
        <v>632</v>
      </c>
      <c r="E739" s="104">
        <v>0.05</v>
      </c>
      <c r="F739" s="104">
        <v>8.5</v>
      </c>
      <c r="G739" s="105">
        <v>23.08</v>
      </c>
    </row>
    <row r="740" spans="3:7" x14ac:dyDescent="0.3">
      <c r="C740" s="106"/>
      <c r="D740" s="104" t="s">
        <v>633</v>
      </c>
      <c r="E740" s="104">
        <v>0.08</v>
      </c>
      <c r="F740" s="104">
        <v>7.5</v>
      </c>
      <c r="G740" s="105">
        <v>13.18</v>
      </c>
    </row>
    <row r="741" spans="3:7" x14ac:dyDescent="0.3">
      <c r="C741" s="106"/>
      <c r="D741" s="104" t="s">
        <v>634</v>
      </c>
      <c r="E741" s="104">
        <v>0.04</v>
      </c>
      <c r="F741" s="104">
        <v>10</v>
      </c>
      <c r="G741" s="105">
        <v>34.130000000000003</v>
      </c>
    </row>
    <row r="742" spans="3:7" x14ac:dyDescent="0.3">
      <c r="C742" s="106"/>
      <c r="D742" s="104" t="s">
        <v>613</v>
      </c>
      <c r="E742" s="104">
        <v>0.19</v>
      </c>
      <c r="F742" s="104">
        <v>28</v>
      </c>
      <c r="G742" s="105">
        <v>20.170000000000002</v>
      </c>
    </row>
    <row r="743" spans="3:7" x14ac:dyDescent="0.3">
      <c r="C743" s="106"/>
      <c r="D743" s="104" t="s">
        <v>635</v>
      </c>
      <c r="E743" s="104">
        <v>0.05</v>
      </c>
      <c r="F743" s="104">
        <v>9.83</v>
      </c>
      <c r="G743" s="105">
        <v>24.83</v>
      </c>
    </row>
    <row r="744" spans="3:7" x14ac:dyDescent="0.3">
      <c r="C744" s="106"/>
      <c r="D744" s="104" t="s">
        <v>614</v>
      </c>
      <c r="E744" s="104">
        <v>0.08</v>
      </c>
      <c r="F744" s="104">
        <v>12.5</v>
      </c>
      <c r="G744" s="105">
        <v>21.26</v>
      </c>
    </row>
    <row r="745" spans="3:7" x14ac:dyDescent="0.3">
      <c r="C745" s="106"/>
      <c r="D745" s="104" t="s">
        <v>636</v>
      </c>
      <c r="E745" s="104">
        <v>0.1</v>
      </c>
      <c r="F745" s="104">
        <v>27</v>
      </c>
      <c r="G745" s="105">
        <v>36.24</v>
      </c>
    </row>
    <row r="746" spans="3:7" x14ac:dyDescent="0.3">
      <c r="C746" s="106"/>
      <c r="D746" s="104" t="s">
        <v>637</v>
      </c>
      <c r="E746" s="104">
        <v>0.15</v>
      </c>
      <c r="F746" s="104">
        <v>24.8</v>
      </c>
      <c r="G746" s="105">
        <v>22.46</v>
      </c>
    </row>
    <row r="747" spans="3:7" x14ac:dyDescent="0.3">
      <c r="C747" s="106"/>
      <c r="D747" s="104" t="s">
        <v>638</v>
      </c>
      <c r="E747" s="104">
        <v>0.03</v>
      </c>
      <c r="F747" s="104">
        <v>3.4</v>
      </c>
      <c r="G747" s="105">
        <v>16.72</v>
      </c>
    </row>
    <row r="748" spans="3:7" x14ac:dyDescent="0.3">
      <c r="C748" s="106"/>
      <c r="D748" s="104" t="s">
        <v>639</v>
      </c>
      <c r="E748" s="104">
        <v>0.13</v>
      </c>
      <c r="F748" s="104">
        <v>20</v>
      </c>
      <c r="G748" s="105">
        <v>20.66</v>
      </c>
    </row>
    <row r="749" spans="3:7" x14ac:dyDescent="0.3">
      <c r="C749" s="106"/>
      <c r="D749" s="104" t="s">
        <v>640</v>
      </c>
      <c r="E749" s="104">
        <v>0.06</v>
      </c>
      <c r="F749" s="104">
        <v>12.95</v>
      </c>
      <c r="G749" s="105">
        <v>27.7</v>
      </c>
    </row>
    <row r="750" spans="3:7" x14ac:dyDescent="0.3">
      <c r="C750" s="106"/>
      <c r="D750" s="104" t="s">
        <v>641</v>
      </c>
      <c r="E750" s="104">
        <v>0.05</v>
      </c>
      <c r="F750" s="104">
        <v>10</v>
      </c>
      <c r="G750" s="105">
        <v>24.35</v>
      </c>
    </row>
    <row r="751" spans="3:7" x14ac:dyDescent="0.3">
      <c r="C751" s="106"/>
      <c r="D751" s="104" t="s">
        <v>596</v>
      </c>
      <c r="E751" s="104">
        <v>0.09</v>
      </c>
      <c r="F751" s="104">
        <v>14</v>
      </c>
      <c r="G751" s="105">
        <v>21.71</v>
      </c>
    </row>
    <row r="752" spans="3:7" x14ac:dyDescent="0.3">
      <c r="C752" s="106"/>
      <c r="D752" s="104" t="s">
        <v>642</v>
      </c>
      <c r="E752" s="104">
        <v>0.17</v>
      </c>
      <c r="F752" s="104">
        <v>25</v>
      </c>
      <c r="G752" s="105">
        <v>20.100000000000001</v>
      </c>
    </row>
    <row r="753" spans="3:7" x14ac:dyDescent="0.3">
      <c r="C753" s="106"/>
      <c r="D753" s="104" t="s">
        <v>643</v>
      </c>
      <c r="E753" s="104">
        <v>7.0000000000000007E-2</v>
      </c>
      <c r="F753" s="104">
        <v>12</v>
      </c>
      <c r="G753" s="105">
        <v>21.9</v>
      </c>
    </row>
    <row r="754" spans="3:7" x14ac:dyDescent="0.3">
      <c r="C754" s="106"/>
      <c r="D754" s="104" t="s">
        <v>644</v>
      </c>
      <c r="E754" s="104">
        <v>0.05</v>
      </c>
      <c r="F754" s="104">
        <v>9</v>
      </c>
      <c r="G754" s="105">
        <v>22.67</v>
      </c>
    </row>
    <row r="755" spans="3:7" x14ac:dyDescent="0.3">
      <c r="C755" s="106"/>
      <c r="D755" s="104" t="s">
        <v>597</v>
      </c>
      <c r="E755" s="104">
        <v>0.04</v>
      </c>
      <c r="F755" s="104">
        <v>10</v>
      </c>
      <c r="G755" s="105">
        <v>31.34</v>
      </c>
    </row>
    <row r="756" spans="3:7" x14ac:dyDescent="0.3">
      <c r="C756" s="106"/>
      <c r="D756" s="104" t="s">
        <v>645</v>
      </c>
      <c r="E756" s="104">
        <v>7.0000000000000007E-2</v>
      </c>
      <c r="F756" s="104">
        <v>7</v>
      </c>
      <c r="G756" s="105">
        <v>12.92</v>
      </c>
    </row>
    <row r="757" spans="3:7" x14ac:dyDescent="0.3">
      <c r="C757" s="107"/>
      <c r="D757" s="108" t="s">
        <v>599</v>
      </c>
      <c r="E757" s="108">
        <v>0.09</v>
      </c>
      <c r="F757" s="108">
        <v>16.398</v>
      </c>
      <c r="G757" s="109">
        <v>23.02</v>
      </c>
    </row>
    <row r="761" spans="3:7" x14ac:dyDescent="0.3">
      <c r="C761" s="96" t="s">
        <v>646</v>
      </c>
      <c r="D761" s="97" t="s">
        <v>117</v>
      </c>
      <c r="E761" s="97" t="s">
        <v>14</v>
      </c>
      <c r="F761" s="97" t="s">
        <v>15</v>
      </c>
      <c r="G761" s="98" t="s">
        <v>118</v>
      </c>
    </row>
    <row r="762" spans="3:7" x14ac:dyDescent="0.3">
      <c r="C762" s="99" t="s">
        <v>647</v>
      </c>
      <c r="D762" s="104" t="s">
        <v>621</v>
      </c>
      <c r="E762" s="104">
        <v>0.18</v>
      </c>
      <c r="F762" s="104">
        <v>24.498999999999999</v>
      </c>
      <c r="G762" s="105">
        <v>18.13</v>
      </c>
    </row>
    <row r="763" spans="3:7" x14ac:dyDescent="0.3">
      <c r="C763" s="99" t="s">
        <v>648</v>
      </c>
      <c r="D763" s="104" t="s">
        <v>649</v>
      </c>
      <c r="E763" s="104">
        <v>0.1</v>
      </c>
      <c r="F763" s="104">
        <v>25.54</v>
      </c>
      <c r="G763" s="105">
        <v>33.69</v>
      </c>
    </row>
    <row r="764" spans="3:7" x14ac:dyDescent="0.3">
      <c r="C764" s="99" t="s">
        <v>650</v>
      </c>
      <c r="D764" s="102" t="s">
        <v>397</v>
      </c>
      <c r="E764" s="102">
        <v>0.37</v>
      </c>
      <c r="F764" s="102">
        <v>50</v>
      </c>
      <c r="G764" s="103">
        <v>18.18</v>
      </c>
    </row>
    <row r="765" spans="3:7" x14ac:dyDescent="0.3">
      <c r="C765" s="106"/>
      <c r="D765" s="104" t="s">
        <v>567</v>
      </c>
      <c r="E765" s="104">
        <v>0.09</v>
      </c>
      <c r="F765" s="104">
        <v>28.33</v>
      </c>
      <c r="G765" s="105">
        <v>44.15</v>
      </c>
    </row>
    <row r="766" spans="3:7" x14ac:dyDescent="0.3">
      <c r="C766" s="106"/>
      <c r="D766" s="104" t="s">
        <v>606</v>
      </c>
      <c r="E766" s="104">
        <v>0.08</v>
      </c>
      <c r="F766" s="104">
        <v>22.96</v>
      </c>
      <c r="G766" s="105">
        <v>38.67</v>
      </c>
    </row>
    <row r="767" spans="3:7" x14ac:dyDescent="0.3">
      <c r="C767" s="106"/>
      <c r="D767" s="104" t="s">
        <v>579</v>
      </c>
      <c r="E767" s="104">
        <v>0.03</v>
      </c>
      <c r="F767" s="104">
        <v>10.08</v>
      </c>
      <c r="G767" s="105">
        <v>43.1</v>
      </c>
    </row>
    <row r="768" spans="3:7" x14ac:dyDescent="0.3">
      <c r="C768" s="106"/>
      <c r="D768" s="104" t="s">
        <v>651</v>
      </c>
      <c r="E768" s="104">
        <v>0.11</v>
      </c>
      <c r="F768" s="104">
        <v>24.859000000000002</v>
      </c>
      <c r="G768" s="105">
        <v>31.04</v>
      </c>
    </row>
    <row r="769" spans="3:7" x14ac:dyDescent="0.3">
      <c r="C769" s="106"/>
      <c r="D769" s="104" t="s">
        <v>579</v>
      </c>
      <c r="E769" s="104">
        <v>0.03</v>
      </c>
      <c r="F769" s="104">
        <v>10.06</v>
      </c>
      <c r="G769" s="105">
        <v>43.1</v>
      </c>
    </row>
    <row r="770" spans="3:7" x14ac:dyDescent="0.3">
      <c r="C770" s="106"/>
      <c r="D770" s="104" t="s">
        <v>608</v>
      </c>
      <c r="E770" s="104">
        <v>0.22</v>
      </c>
      <c r="F770" s="104">
        <v>48</v>
      </c>
      <c r="G770" s="105">
        <v>29.12</v>
      </c>
    </row>
    <row r="771" spans="3:7" x14ac:dyDescent="0.3">
      <c r="C771" s="106"/>
      <c r="D771" s="104" t="s">
        <v>652</v>
      </c>
      <c r="E771" s="104">
        <v>0.06</v>
      </c>
      <c r="F771" s="104">
        <v>12</v>
      </c>
      <c r="G771" s="105">
        <v>26.63</v>
      </c>
    </row>
    <row r="772" spans="3:7" x14ac:dyDescent="0.3">
      <c r="C772" s="106"/>
      <c r="D772" s="104" t="s">
        <v>611</v>
      </c>
      <c r="E772" s="104">
        <v>0.15</v>
      </c>
      <c r="F772" s="104">
        <v>25</v>
      </c>
      <c r="G772" s="105">
        <v>21.87</v>
      </c>
    </row>
    <row r="773" spans="3:7" x14ac:dyDescent="0.3">
      <c r="C773" s="106"/>
      <c r="D773" s="100" t="s">
        <v>634</v>
      </c>
      <c r="E773" s="100">
        <v>0</v>
      </c>
      <c r="F773" s="100">
        <v>1E-3</v>
      </c>
      <c r="G773" s="101">
        <v>34.130000000000003</v>
      </c>
    </row>
    <row r="774" spans="3:7" x14ac:dyDescent="0.3">
      <c r="C774" s="106"/>
      <c r="D774" s="104" t="s">
        <v>613</v>
      </c>
      <c r="E774" s="104">
        <v>0.09</v>
      </c>
      <c r="F774" s="104">
        <v>14</v>
      </c>
      <c r="G774" s="105">
        <v>20.170000000000002</v>
      </c>
    </row>
    <row r="775" spans="3:7" x14ac:dyDescent="0.3">
      <c r="C775" s="106"/>
      <c r="D775" s="104" t="s">
        <v>593</v>
      </c>
      <c r="E775" s="104">
        <v>0.12</v>
      </c>
      <c r="F775" s="104">
        <v>14</v>
      </c>
      <c r="G775" s="105">
        <v>15.48</v>
      </c>
    </row>
    <row r="776" spans="3:7" x14ac:dyDescent="0.3">
      <c r="C776" s="106"/>
      <c r="D776" s="104" t="s">
        <v>635</v>
      </c>
      <c r="E776" s="104">
        <v>0.08</v>
      </c>
      <c r="F776" s="104">
        <v>14</v>
      </c>
      <c r="G776" s="105">
        <v>24.83</v>
      </c>
    </row>
    <row r="777" spans="3:7" x14ac:dyDescent="0.3">
      <c r="C777" s="106"/>
      <c r="D777" s="104" t="s">
        <v>614</v>
      </c>
      <c r="E777" s="104">
        <v>0.08</v>
      </c>
      <c r="F777" s="104">
        <v>12.5</v>
      </c>
      <c r="G777" s="105">
        <v>21.26</v>
      </c>
    </row>
    <row r="778" spans="3:7" x14ac:dyDescent="0.3">
      <c r="C778" s="106"/>
      <c r="D778" s="104" t="s">
        <v>653</v>
      </c>
      <c r="E778" s="104">
        <v>0.12</v>
      </c>
      <c r="F778" s="104">
        <v>20</v>
      </c>
      <c r="G778" s="105">
        <v>21.5</v>
      </c>
    </row>
    <row r="779" spans="3:7" x14ac:dyDescent="0.3">
      <c r="C779" s="106"/>
      <c r="D779" s="104" t="s">
        <v>637</v>
      </c>
      <c r="E779" s="104">
        <v>0.11</v>
      </c>
      <c r="F779" s="104">
        <v>18.600000000000001</v>
      </c>
      <c r="G779" s="105">
        <v>22.46</v>
      </c>
    </row>
    <row r="780" spans="3:7" x14ac:dyDescent="0.3">
      <c r="C780" s="106"/>
      <c r="D780" s="104" t="s">
        <v>654</v>
      </c>
      <c r="E780" s="104">
        <v>0.02</v>
      </c>
      <c r="F780" s="104">
        <v>2</v>
      </c>
      <c r="G780" s="105">
        <v>16.79</v>
      </c>
    </row>
    <row r="781" spans="3:7" x14ac:dyDescent="0.3">
      <c r="C781" s="106"/>
      <c r="D781" s="104" t="s">
        <v>640</v>
      </c>
      <c r="E781" s="104">
        <v>0.09</v>
      </c>
      <c r="F781" s="104">
        <v>18</v>
      </c>
      <c r="G781" s="105">
        <v>27.7</v>
      </c>
    </row>
    <row r="782" spans="3:7" x14ac:dyDescent="0.3">
      <c r="C782" s="106"/>
      <c r="D782" s="104" t="s">
        <v>655</v>
      </c>
      <c r="E782" s="104">
        <v>0.08</v>
      </c>
      <c r="F782" s="104">
        <v>4</v>
      </c>
      <c r="G782" s="105">
        <v>6.29</v>
      </c>
    </row>
    <row r="783" spans="3:7" x14ac:dyDescent="0.3">
      <c r="C783" s="106"/>
      <c r="D783" s="104" t="s">
        <v>656</v>
      </c>
      <c r="E783" s="104">
        <v>0.05</v>
      </c>
      <c r="F783" s="104">
        <v>8</v>
      </c>
      <c r="G783" s="105">
        <v>19.57</v>
      </c>
    </row>
    <row r="784" spans="3:7" x14ac:dyDescent="0.3">
      <c r="C784" s="106"/>
      <c r="D784" s="104" t="s">
        <v>657</v>
      </c>
      <c r="E784" s="104">
        <v>0.24</v>
      </c>
      <c r="F784" s="104">
        <v>15</v>
      </c>
      <c r="G784" s="105">
        <v>8.43</v>
      </c>
    </row>
    <row r="785" spans="3:7" x14ac:dyDescent="0.3">
      <c r="C785" s="106"/>
      <c r="D785" s="104" t="s">
        <v>658</v>
      </c>
      <c r="E785" s="104">
        <v>0.16</v>
      </c>
      <c r="F785" s="104">
        <v>20</v>
      </c>
      <c r="G785" s="105">
        <v>16.98</v>
      </c>
    </row>
    <row r="786" spans="3:7" x14ac:dyDescent="0.3">
      <c r="C786" s="106"/>
      <c r="D786" s="104" t="s">
        <v>659</v>
      </c>
      <c r="E786" s="104">
        <v>0.1</v>
      </c>
      <c r="F786" s="104">
        <v>6</v>
      </c>
      <c r="G786" s="105">
        <v>7.78</v>
      </c>
    </row>
    <row r="787" spans="3:7" x14ac:dyDescent="0.3">
      <c r="C787" s="106"/>
      <c r="D787" s="104" t="s">
        <v>618</v>
      </c>
      <c r="E787" s="104">
        <v>0.05</v>
      </c>
      <c r="F787" s="104">
        <v>12</v>
      </c>
      <c r="G787" s="105">
        <v>31.38</v>
      </c>
    </row>
    <row r="788" spans="3:7" x14ac:dyDescent="0.3">
      <c r="C788" s="107"/>
      <c r="D788" s="108" t="s">
        <v>599</v>
      </c>
      <c r="E788" s="108">
        <v>0.11</v>
      </c>
      <c r="F788" s="108">
        <v>19.088999999999999</v>
      </c>
      <c r="G788" s="109">
        <v>23.02</v>
      </c>
    </row>
    <row r="792" spans="3:7" x14ac:dyDescent="0.3">
      <c r="C792" s="96" t="s">
        <v>660</v>
      </c>
      <c r="D792" s="97" t="s">
        <v>117</v>
      </c>
      <c r="E792" s="97" t="s">
        <v>14</v>
      </c>
      <c r="F792" s="97" t="s">
        <v>15</v>
      </c>
      <c r="G792" s="98" t="s">
        <v>118</v>
      </c>
    </row>
    <row r="793" spans="3:7" x14ac:dyDescent="0.3">
      <c r="C793" s="99" t="s">
        <v>661</v>
      </c>
      <c r="D793" s="104" t="s">
        <v>397</v>
      </c>
      <c r="E793" s="104">
        <v>0.18</v>
      </c>
      <c r="F793" s="104">
        <v>25</v>
      </c>
      <c r="G793" s="105">
        <v>18.18</v>
      </c>
    </row>
    <row r="794" spans="3:7" x14ac:dyDescent="0.3">
      <c r="C794" s="99" t="s">
        <v>662</v>
      </c>
      <c r="D794" s="104" t="s">
        <v>567</v>
      </c>
      <c r="E794" s="104">
        <v>0.08</v>
      </c>
      <c r="F794" s="104">
        <v>25.86</v>
      </c>
      <c r="G794" s="105">
        <v>44.15</v>
      </c>
    </row>
    <row r="795" spans="3:7" x14ac:dyDescent="0.3">
      <c r="C795" s="99" t="s">
        <v>663</v>
      </c>
      <c r="D795" s="104" t="s">
        <v>664</v>
      </c>
      <c r="E795" s="104">
        <v>0.11</v>
      </c>
      <c r="F795" s="104">
        <v>12</v>
      </c>
      <c r="G795" s="105">
        <v>14.57</v>
      </c>
    </row>
    <row r="796" spans="3:7" x14ac:dyDescent="0.3">
      <c r="C796" s="106"/>
      <c r="D796" s="104" t="s">
        <v>590</v>
      </c>
      <c r="E796" s="104">
        <v>0.25</v>
      </c>
      <c r="F796" s="104">
        <v>25</v>
      </c>
      <c r="G796" s="105">
        <v>13.19</v>
      </c>
    </row>
    <row r="797" spans="3:7" x14ac:dyDescent="0.3">
      <c r="C797" s="106"/>
      <c r="D797" s="100" t="s">
        <v>631</v>
      </c>
      <c r="E797" s="100">
        <v>0.02</v>
      </c>
      <c r="F797" s="100">
        <v>3</v>
      </c>
      <c r="G797" s="101">
        <v>22.58</v>
      </c>
    </row>
    <row r="798" spans="3:7" x14ac:dyDescent="0.3">
      <c r="C798" s="106"/>
      <c r="D798" s="104" t="s">
        <v>633</v>
      </c>
      <c r="E798" s="104">
        <v>0.08</v>
      </c>
      <c r="F798" s="104">
        <v>7.5</v>
      </c>
      <c r="G798" s="105">
        <v>13.18</v>
      </c>
    </row>
    <row r="799" spans="3:7" x14ac:dyDescent="0.3">
      <c r="C799" s="106"/>
      <c r="D799" s="104" t="s">
        <v>634</v>
      </c>
      <c r="E799" s="104">
        <v>0.04</v>
      </c>
      <c r="F799" s="104">
        <v>10</v>
      </c>
      <c r="G799" s="105">
        <v>34.130000000000003</v>
      </c>
    </row>
    <row r="800" spans="3:7" x14ac:dyDescent="0.3">
      <c r="C800" s="106"/>
      <c r="D800" s="104" t="s">
        <v>591</v>
      </c>
      <c r="E800" s="104">
        <v>7.0000000000000007E-2</v>
      </c>
      <c r="F800" s="104">
        <v>14</v>
      </c>
      <c r="G800" s="105">
        <v>27.91</v>
      </c>
    </row>
    <row r="801" spans="3:7" x14ac:dyDescent="0.3">
      <c r="C801" s="106"/>
      <c r="D801" s="104" t="s">
        <v>613</v>
      </c>
      <c r="E801" s="104">
        <v>0.09</v>
      </c>
      <c r="F801" s="104">
        <v>14</v>
      </c>
      <c r="G801" s="105">
        <v>20.170000000000002</v>
      </c>
    </row>
    <row r="802" spans="3:7" x14ac:dyDescent="0.3">
      <c r="C802" s="106"/>
      <c r="D802" s="104" t="s">
        <v>635</v>
      </c>
      <c r="E802" s="104">
        <v>0.08</v>
      </c>
      <c r="F802" s="104">
        <v>14</v>
      </c>
      <c r="G802" s="105">
        <v>24.83</v>
      </c>
    </row>
    <row r="803" spans="3:7" x14ac:dyDescent="0.3">
      <c r="C803" s="106"/>
      <c r="D803" s="104" t="s">
        <v>665</v>
      </c>
      <c r="E803" s="104">
        <v>0.08</v>
      </c>
      <c r="F803" s="104">
        <v>14</v>
      </c>
      <c r="G803" s="105">
        <v>23.81</v>
      </c>
    </row>
    <row r="804" spans="3:7" x14ac:dyDescent="0.3">
      <c r="C804" s="106"/>
      <c r="D804" s="104" t="s">
        <v>666</v>
      </c>
      <c r="E804" s="104">
        <v>0.1</v>
      </c>
      <c r="F804" s="104">
        <v>18</v>
      </c>
      <c r="G804" s="105">
        <v>23.89</v>
      </c>
    </row>
    <row r="805" spans="3:7" x14ac:dyDescent="0.3">
      <c r="C805" s="106"/>
      <c r="D805" s="102" t="s">
        <v>636</v>
      </c>
      <c r="E805" s="102">
        <v>0.1</v>
      </c>
      <c r="F805" s="102">
        <v>27</v>
      </c>
      <c r="G805" s="103">
        <v>36.24</v>
      </c>
    </row>
    <row r="806" spans="3:7" x14ac:dyDescent="0.3">
      <c r="C806" s="106"/>
      <c r="D806" s="104" t="s">
        <v>667</v>
      </c>
      <c r="E806" s="104">
        <v>0.04</v>
      </c>
      <c r="F806" s="104">
        <v>8</v>
      </c>
      <c r="G806" s="105">
        <v>24.71</v>
      </c>
    </row>
    <row r="807" spans="3:7" x14ac:dyDescent="0.3">
      <c r="C807" s="106"/>
      <c r="D807" s="104" t="s">
        <v>637</v>
      </c>
      <c r="E807" s="104">
        <v>0.13</v>
      </c>
      <c r="F807" s="104">
        <v>21.7</v>
      </c>
      <c r="G807" s="105">
        <v>22.46</v>
      </c>
    </row>
    <row r="808" spans="3:7" x14ac:dyDescent="0.3">
      <c r="C808" s="106"/>
      <c r="D808" s="104" t="s">
        <v>639</v>
      </c>
      <c r="E808" s="104">
        <v>0.13</v>
      </c>
      <c r="F808" s="104">
        <v>20</v>
      </c>
      <c r="G808" s="105">
        <v>20.66</v>
      </c>
    </row>
    <row r="809" spans="3:7" x14ac:dyDescent="0.3">
      <c r="C809" s="106"/>
      <c r="D809" s="104" t="s">
        <v>640</v>
      </c>
      <c r="E809" s="104">
        <v>7.0000000000000007E-2</v>
      </c>
      <c r="F809" s="104">
        <v>15</v>
      </c>
      <c r="G809" s="105">
        <v>27.7</v>
      </c>
    </row>
    <row r="810" spans="3:7" x14ac:dyDescent="0.3">
      <c r="C810" s="106"/>
      <c r="D810" s="104" t="s">
        <v>595</v>
      </c>
      <c r="E810" s="104">
        <v>0.21</v>
      </c>
      <c r="F810" s="104">
        <v>25</v>
      </c>
      <c r="G810" s="105">
        <v>15.71</v>
      </c>
    </row>
    <row r="811" spans="3:7" x14ac:dyDescent="0.3">
      <c r="C811" s="106"/>
      <c r="D811" s="104" t="s">
        <v>596</v>
      </c>
      <c r="E811" s="104">
        <v>0.09</v>
      </c>
      <c r="F811" s="104">
        <v>14</v>
      </c>
      <c r="G811" s="105">
        <v>21.71</v>
      </c>
    </row>
    <row r="812" spans="3:7" x14ac:dyDescent="0.3">
      <c r="C812" s="106"/>
      <c r="D812" s="104" t="s">
        <v>668</v>
      </c>
      <c r="E812" s="104">
        <v>0.13</v>
      </c>
      <c r="F812" s="104">
        <v>20</v>
      </c>
      <c r="G812" s="105">
        <v>21.12</v>
      </c>
    </row>
    <row r="813" spans="3:7" x14ac:dyDescent="0.3">
      <c r="C813" s="106"/>
      <c r="D813" s="104" t="s">
        <v>643</v>
      </c>
      <c r="E813" s="104">
        <v>0.1</v>
      </c>
      <c r="F813" s="104">
        <v>17</v>
      </c>
      <c r="G813" s="105">
        <v>21.9</v>
      </c>
    </row>
    <row r="814" spans="3:7" x14ac:dyDescent="0.3">
      <c r="C814" s="106"/>
      <c r="D814" s="102" t="s">
        <v>644</v>
      </c>
      <c r="E814" s="102">
        <v>0.16</v>
      </c>
      <c r="F814" s="102">
        <v>27</v>
      </c>
      <c r="G814" s="103">
        <v>22.67</v>
      </c>
    </row>
    <row r="815" spans="3:7" x14ac:dyDescent="0.3">
      <c r="C815" s="106"/>
      <c r="D815" s="104" t="s">
        <v>597</v>
      </c>
      <c r="E815" s="104">
        <v>0.04</v>
      </c>
      <c r="F815" s="104">
        <v>10</v>
      </c>
      <c r="G815" s="105">
        <v>31.34</v>
      </c>
    </row>
    <row r="816" spans="3:7" x14ac:dyDescent="0.3">
      <c r="C816" s="107"/>
      <c r="D816" s="108" t="s">
        <v>599</v>
      </c>
      <c r="E816" s="108">
        <v>0.04</v>
      </c>
      <c r="F816" s="108">
        <v>6.891</v>
      </c>
      <c r="G816" s="109">
        <v>23.02</v>
      </c>
    </row>
    <row r="820" spans="3:7" x14ac:dyDescent="0.3">
      <c r="C820" s="96" t="s">
        <v>669</v>
      </c>
      <c r="D820" s="97" t="s">
        <v>117</v>
      </c>
      <c r="E820" s="97" t="s">
        <v>14</v>
      </c>
      <c r="F820" s="97" t="s">
        <v>15</v>
      </c>
      <c r="G820" s="98" t="s">
        <v>118</v>
      </c>
    </row>
    <row r="821" spans="3:7" x14ac:dyDescent="0.3">
      <c r="C821" s="99" t="s">
        <v>670</v>
      </c>
      <c r="D821" s="104" t="s">
        <v>609</v>
      </c>
      <c r="E821" s="104">
        <v>0.15</v>
      </c>
      <c r="F821" s="104">
        <v>24</v>
      </c>
      <c r="G821" s="105">
        <v>21.27</v>
      </c>
    </row>
    <row r="822" spans="3:7" x14ac:dyDescent="0.3">
      <c r="C822" s="99" t="s">
        <v>671</v>
      </c>
      <c r="D822" s="104" t="s">
        <v>672</v>
      </c>
      <c r="E822" s="104">
        <v>0.28000000000000003</v>
      </c>
      <c r="F822" s="104">
        <v>12</v>
      </c>
      <c r="G822" s="105">
        <v>5.67</v>
      </c>
    </row>
    <row r="823" spans="3:7" x14ac:dyDescent="0.3">
      <c r="C823" s="99" t="s">
        <v>673</v>
      </c>
      <c r="D823" s="104" t="s">
        <v>611</v>
      </c>
      <c r="E823" s="104">
        <v>0.15</v>
      </c>
      <c r="F823" s="104">
        <v>25</v>
      </c>
      <c r="G823" s="105">
        <v>21.87</v>
      </c>
    </row>
    <row r="824" spans="3:7" x14ac:dyDescent="0.3">
      <c r="C824" s="106"/>
      <c r="D824" s="104" t="s">
        <v>631</v>
      </c>
      <c r="E824" s="104">
        <v>0.12</v>
      </c>
      <c r="F824" s="104">
        <v>21</v>
      </c>
      <c r="G824" s="105">
        <v>22.58</v>
      </c>
    </row>
    <row r="825" spans="3:7" x14ac:dyDescent="0.3">
      <c r="C825" s="106"/>
      <c r="D825" s="104" t="s">
        <v>634</v>
      </c>
      <c r="E825" s="104">
        <v>0.04</v>
      </c>
      <c r="F825" s="104">
        <v>10</v>
      </c>
      <c r="G825" s="105">
        <v>34.130000000000003</v>
      </c>
    </row>
    <row r="826" spans="3:7" x14ac:dyDescent="0.3">
      <c r="C826" s="106"/>
      <c r="D826" s="104" t="s">
        <v>613</v>
      </c>
      <c r="E826" s="104">
        <v>0.19</v>
      </c>
      <c r="F826" s="104">
        <v>28</v>
      </c>
      <c r="G826" s="105">
        <v>20.170000000000002</v>
      </c>
    </row>
    <row r="827" spans="3:7" x14ac:dyDescent="0.3">
      <c r="C827" s="106"/>
      <c r="D827" s="104" t="s">
        <v>593</v>
      </c>
      <c r="E827" s="104">
        <v>0.12</v>
      </c>
      <c r="F827" s="104">
        <v>14</v>
      </c>
      <c r="G827" s="105">
        <v>15.48</v>
      </c>
    </row>
    <row r="828" spans="3:7" x14ac:dyDescent="0.3">
      <c r="C828" s="106"/>
      <c r="D828" s="104" t="s">
        <v>674</v>
      </c>
      <c r="E828" s="104">
        <v>0.03</v>
      </c>
      <c r="F828" s="104">
        <v>10</v>
      </c>
      <c r="G828" s="105">
        <v>38.21</v>
      </c>
    </row>
    <row r="829" spans="3:7" x14ac:dyDescent="0.3">
      <c r="C829" s="106"/>
      <c r="D829" s="104" t="s">
        <v>675</v>
      </c>
      <c r="E829" s="104">
        <v>0.08</v>
      </c>
      <c r="F829" s="104">
        <v>14</v>
      </c>
      <c r="G829" s="105">
        <v>24.68</v>
      </c>
    </row>
    <row r="830" spans="3:7" x14ac:dyDescent="0.3">
      <c r="C830" s="106"/>
      <c r="D830" s="104" t="s">
        <v>635</v>
      </c>
      <c r="E830" s="104">
        <v>0.08</v>
      </c>
      <c r="F830" s="104">
        <v>14</v>
      </c>
      <c r="G830" s="105">
        <v>24.83</v>
      </c>
    </row>
    <row r="831" spans="3:7" x14ac:dyDescent="0.3">
      <c r="C831" s="106"/>
      <c r="D831" s="104" t="s">
        <v>594</v>
      </c>
      <c r="E831" s="104">
        <v>0.1</v>
      </c>
      <c r="F831" s="104">
        <v>14</v>
      </c>
      <c r="G831" s="105">
        <v>19.399999999999999</v>
      </c>
    </row>
    <row r="832" spans="3:7" x14ac:dyDescent="0.3">
      <c r="C832" s="106"/>
      <c r="D832" s="104" t="s">
        <v>614</v>
      </c>
      <c r="E832" s="104">
        <v>0.08</v>
      </c>
      <c r="F832" s="104">
        <v>12.5</v>
      </c>
      <c r="G832" s="105">
        <v>21.26</v>
      </c>
    </row>
    <row r="833" spans="3:7" x14ac:dyDescent="0.3">
      <c r="C833" s="106"/>
      <c r="D833" s="102" t="s">
        <v>636</v>
      </c>
      <c r="E833" s="102">
        <v>0.2</v>
      </c>
      <c r="F833" s="102">
        <v>54</v>
      </c>
      <c r="G833" s="103">
        <v>36.24</v>
      </c>
    </row>
    <row r="834" spans="3:7" x14ac:dyDescent="0.3">
      <c r="C834" s="106"/>
      <c r="D834" s="104" t="s">
        <v>637</v>
      </c>
      <c r="E834" s="104">
        <v>0.13</v>
      </c>
      <c r="F834" s="104">
        <v>21.7</v>
      </c>
      <c r="G834" s="105">
        <v>22.46</v>
      </c>
    </row>
    <row r="835" spans="3:7" x14ac:dyDescent="0.3">
      <c r="C835" s="106"/>
      <c r="D835" s="104" t="s">
        <v>638</v>
      </c>
      <c r="E835" s="104">
        <v>0.03</v>
      </c>
      <c r="F835" s="104">
        <v>3.4</v>
      </c>
      <c r="G835" s="105">
        <v>16.72</v>
      </c>
    </row>
    <row r="836" spans="3:7" x14ac:dyDescent="0.3">
      <c r="C836" s="106"/>
      <c r="D836" s="100" t="s">
        <v>654</v>
      </c>
      <c r="E836" s="100">
        <v>0.02</v>
      </c>
      <c r="F836" s="100">
        <v>2</v>
      </c>
      <c r="G836" s="101">
        <v>16.79</v>
      </c>
    </row>
    <row r="837" spans="3:7" x14ac:dyDescent="0.3">
      <c r="C837" s="106"/>
      <c r="D837" s="104" t="s">
        <v>640</v>
      </c>
      <c r="E837" s="104">
        <v>0.1</v>
      </c>
      <c r="F837" s="104">
        <v>21</v>
      </c>
      <c r="G837" s="105">
        <v>27.7</v>
      </c>
    </row>
    <row r="838" spans="3:7" x14ac:dyDescent="0.3">
      <c r="C838" s="106"/>
      <c r="D838" s="104" t="s">
        <v>641</v>
      </c>
      <c r="E838" s="104">
        <v>0.05</v>
      </c>
      <c r="F838" s="104">
        <v>10</v>
      </c>
      <c r="G838" s="105">
        <v>24.35</v>
      </c>
    </row>
    <row r="839" spans="3:7" x14ac:dyDescent="0.3">
      <c r="C839" s="106"/>
      <c r="D839" s="104" t="s">
        <v>615</v>
      </c>
      <c r="E839" s="104">
        <v>0.08</v>
      </c>
      <c r="F839" s="104">
        <v>10</v>
      </c>
      <c r="G839" s="105">
        <v>15.94</v>
      </c>
    </row>
    <row r="840" spans="3:7" x14ac:dyDescent="0.3">
      <c r="C840" s="106"/>
      <c r="D840" s="104" t="s">
        <v>676</v>
      </c>
      <c r="E840" s="104">
        <v>0.23</v>
      </c>
      <c r="F840" s="104">
        <v>50</v>
      </c>
      <c r="G840" s="105">
        <v>28.42</v>
      </c>
    </row>
    <row r="841" spans="3:7" x14ac:dyDescent="0.3">
      <c r="C841" s="106"/>
      <c r="D841" s="104" t="s">
        <v>616</v>
      </c>
      <c r="E841" s="104">
        <v>0.05</v>
      </c>
      <c r="F841" s="104">
        <v>5</v>
      </c>
      <c r="G841" s="105">
        <v>13.09</v>
      </c>
    </row>
    <row r="842" spans="3:7" x14ac:dyDescent="0.3">
      <c r="C842" s="106"/>
      <c r="D842" s="104" t="s">
        <v>656</v>
      </c>
      <c r="E842" s="104">
        <v>0.05</v>
      </c>
      <c r="F842" s="104">
        <v>8</v>
      </c>
      <c r="G842" s="105">
        <v>19.57</v>
      </c>
    </row>
    <row r="843" spans="3:7" x14ac:dyDescent="0.3">
      <c r="C843" s="106"/>
      <c r="D843" s="104" t="s">
        <v>677</v>
      </c>
      <c r="E843" s="104">
        <v>0.08</v>
      </c>
      <c r="F843" s="104">
        <v>6</v>
      </c>
      <c r="G843" s="105">
        <v>9.6</v>
      </c>
    </row>
    <row r="844" spans="3:7" x14ac:dyDescent="0.3">
      <c r="C844" s="107"/>
      <c r="D844" s="108" t="s">
        <v>645</v>
      </c>
      <c r="E844" s="108">
        <v>0.04</v>
      </c>
      <c r="F844" s="108">
        <v>4</v>
      </c>
      <c r="G844" s="109">
        <v>12.92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>
      <selection activeCell="C6" sqref="C6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Resultats</vt:lpstr>
      <vt:lpstr>Details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Rafael Dye</cp:lastModifiedBy>
  <dcterms:created xsi:type="dcterms:W3CDTF">2026-01-14T15:25:45Z</dcterms:created>
  <dcterms:modified xsi:type="dcterms:W3CDTF">2026-03-20T17:33:18Z</dcterms:modified>
</cp:coreProperties>
</file>