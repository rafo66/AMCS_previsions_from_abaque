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437" firstSheet="0" activeTab="0" autoFilterDateGrouping="1"/>
  </bookViews>
  <sheets>
    <sheet xmlns:r="http://schemas.openxmlformats.org/officeDocument/2006/relationships" name="Resultats" sheetId="1" state="visible" r:id="rId1"/>
    <sheet xmlns:r="http://schemas.openxmlformats.org/officeDocument/2006/relationships" name="Details" sheetId="2" state="visible" r:id="rId2"/>
    <sheet xmlns:r="http://schemas.openxmlformats.org/officeDocument/2006/relationships" name="Feuil1" sheetId="3" state="visible" r:id="rId3"/>
  </sheets>
  <definedNames>
    <definedName name="_xleta.AND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Calibri"/>
      <family val="2"/>
      <color theme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theme="1"/>
      <sz val="14"/>
      <scheme val="minor"/>
    </font>
    <font>
      <name val="Calibri"/>
      <color rgb="FF000000"/>
      <sz val="11"/>
    </font>
    <font>
      <name val="Calibri"/>
      <color rgb="FF000000"/>
      <sz val="11"/>
    </font>
    <font>
      <name val="Calibri"/>
      <family val="2"/>
      <color theme="1"/>
      <sz val="12"/>
      <scheme val="minor"/>
    </font>
    <font>
      <name val="Consolas"/>
      <family val="3"/>
      <color theme="1"/>
      <sz val="8"/>
    </font>
    <font>
      <name val="Calibri"/>
      <color rgb="FF000000"/>
      <sz val="11"/>
    </font>
    <font>
      <name val="Calibri"/>
      <b val="1"/>
      <sz val="11"/>
    </font>
    <font>
      <color rgb="00000000"/>
    </font>
    <font>
      <b val="1"/>
    </font>
  </fonts>
  <fills count="31">
    <fill>
      <patternFill/>
    </fill>
    <fill>
      <patternFill patternType="gray125"/>
    </fill>
    <fill>
      <patternFill patternType="solid">
        <fgColor theme="5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0499893185216834"/>
        <bgColor rgb="FFFF0000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CCC"/>
        <bgColor rgb="FFFFCCCC"/>
      </patternFill>
    </fill>
    <fill>
      <patternFill patternType="solid">
        <fgColor rgb="FFCCFFCC"/>
        <bgColor rgb="FFCCFFCC"/>
      </patternFill>
    </fill>
    <fill>
      <patternFill patternType="solid">
        <fgColor rgb="00D9E1F2"/>
      </patternFill>
    </fill>
    <fill>
      <patternFill patternType="solid">
        <fgColor rgb="00F2F2F2"/>
      </patternFill>
    </fill>
    <fill>
      <patternFill patternType="solid">
        <fgColor rgb="00FFC7CE"/>
      </patternFill>
    </fill>
    <fill>
      <patternFill patternType="solid">
        <fgColor rgb="00C6EFCE"/>
      </patternFill>
    </fill>
    <fill>
      <patternFill patternType="solid">
        <fgColor rgb="00FFCCCC"/>
        <bgColor rgb="00FFCCCC"/>
      </patternFill>
    </fill>
    <fill>
      <patternFill patternType="solid">
        <fgColor rgb="00CCFFCC"/>
        <bgColor rgb="00CCFFCC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/>
      <right style="thin"/>
      <top style="thin"/>
      <bottom style="thin"/>
    </border>
    <border>
      <left style="medium"/>
      <right style="thin"/>
      <top style="medium"/>
    </border>
    <border>
      <left style="medium"/>
      <right style="thin"/>
      <bottom style="medium"/>
    </border>
    <border>
      <left style="thin"/>
      <right style="thin"/>
      <top style="medium"/>
    </border>
    <border>
      <left style="thin"/>
      <right style="thin"/>
      <bottom style="medium"/>
    </border>
    <border>
      <left style="thin"/>
      <right style="medium"/>
      <top style="medium"/>
    </border>
    <border>
      <left style="thin"/>
      <right style="medium"/>
      <bottom style="medium"/>
    </border>
    <border>
      <left style="medium"/>
    </border>
    <border>
      <right style="medium"/>
      <top style="thin"/>
      <bottom style="thin"/>
    </border>
    <border>
      <left style="medium"/>
      <right style="medium"/>
      <top style="medium"/>
    </border>
    <border>
      <left style="medium"/>
      <right style="medium"/>
      <bottom style="medium"/>
    </border>
    <border>
      <left style="medium"/>
      <right style="medium"/>
    </border>
    <border>
      <right style="medium"/>
      <top style="medium"/>
      <bottom style="thin"/>
    </border>
    <border>
      <right style="medium"/>
      <top style="thin"/>
      <bottom style="medium"/>
    </border>
  </borders>
  <cellStyleXfs count="2">
    <xf numFmtId="0" fontId="0" fillId="0" borderId="0"/>
    <xf numFmtId="0" fontId="2" fillId="0" borderId="0"/>
  </cellStyleXfs>
  <cellXfs count="181">
    <xf numFmtId="0" fontId="0" fillId="0" borderId="0" pivotButton="0" quotePrefix="0" xfId="0"/>
    <xf numFmtId="2" fontId="0" fillId="0" borderId="0" pivotButton="0" quotePrefix="0" xfId="0"/>
    <xf numFmtId="0" fontId="0" fillId="5" borderId="7" applyAlignment="1" pivotButton="0" quotePrefix="0" xfId="0">
      <alignment horizontal="center"/>
    </xf>
    <xf numFmtId="0" fontId="0" fillId="0" borderId="6" pivotButton="0" quotePrefix="0" xfId="0"/>
    <xf numFmtId="0" fontId="0" fillId="0" borderId="3" pivotButton="0" quotePrefix="0" xfId="0"/>
    <xf numFmtId="2" fontId="0" fillId="2" borderId="10" applyAlignment="1" pivotButton="0" quotePrefix="0" xfId="0">
      <alignment horizontal="center" vertical="center"/>
    </xf>
    <xf numFmtId="2" fontId="0" fillId="0" borderId="8" pivotButton="0" quotePrefix="0" xfId="0"/>
    <xf numFmtId="2" fontId="0" fillId="7" borderId="10" applyAlignment="1" pivotButton="0" quotePrefix="0" xfId="0">
      <alignment horizontal="center" vertical="center"/>
    </xf>
    <xf numFmtId="2" fontId="0" fillId="7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2" fontId="0" fillId="7" borderId="8" applyAlignment="1" pivotButton="0" quotePrefix="0" xfId="0">
      <alignment horizontal="center" vertical="center"/>
    </xf>
    <xf numFmtId="2" fontId="0" fillId="4" borderId="4" applyAlignment="1" pivotButton="0" quotePrefix="0" xfId="0">
      <alignment horizontal="center" vertical="center"/>
    </xf>
    <xf numFmtId="2" fontId="0" fillId="7" borderId="10" pivotButton="0" quotePrefix="0" xfId="0"/>
    <xf numFmtId="2" fontId="0" fillId="4" borderId="12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2" fontId="3" fillId="8" borderId="7" applyAlignment="1" pivotButton="0" quotePrefix="0" xfId="0">
      <alignment horizontal="center" vertical="center"/>
    </xf>
    <xf numFmtId="2" fontId="3" fillId="9" borderId="7" applyAlignment="1" pivotButton="0" quotePrefix="0" xfId="0">
      <alignment horizontal="center" vertical="center"/>
    </xf>
    <xf numFmtId="2" fontId="0" fillId="0" borderId="6" pivotButton="0" quotePrefix="0" xfId="0"/>
    <xf numFmtId="2" fontId="0" fillId="0" borderId="20" pivotButton="0" quotePrefix="0" xfId="0"/>
    <xf numFmtId="2" fontId="4" fillId="0" borderId="0" pivotButton="0" quotePrefix="0" xfId="0"/>
    <xf numFmtId="2" fontId="4" fillId="0" borderId="11" pivotButton="0" quotePrefix="0" xfId="0"/>
    <xf numFmtId="0" fontId="4" fillId="10" borderId="10" pivotButton="0" quotePrefix="0" xfId="0"/>
    <xf numFmtId="0" fontId="4" fillId="10" borderId="2" pivotButton="0" quotePrefix="0" xfId="0"/>
    <xf numFmtId="2" fontId="0" fillId="2" borderId="8" applyAlignment="1" pivotButton="0" quotePrefix="0" xfId="0">
      <alignment horizontal="center" vertical="center"/>
    </xf>
    <xf numFmtId="2" fontId="0" fillId="3" borderId="1" applyAlignment="1" pivotButton="0" quotePrefix="0" xfId="0">
      <alignment horizontal="center" vertical="center"/>
    </xf>
    <xf numFmtId="2" fontId="0" fillId="0" borderId="19" pivotButton="0" quotePrefix="0" xfId="0"/>
    <xf numFmtId="0" fontId="0" fillId="0" borderId="13" applyAlignment="1" pivotButton="0" quotePrefix="0" xfId="0">
      <alignment vertical="center"/>
    </xf>
    <xf numFmtId="2" fontId="0" fillId="3" borderId="12" applyAlignment="1" pivotButton="0" quotePrefix="0" xfId="0">
      <alignment horizontal="center" vertical="center"/>
    </xf>
    <xf numFmtId="2" fontId="0" fillId="4" borderId="18" applyAlignment="1" pivotButton="0" quotePrefix="0" xfId="0">
      <alignment horizontal="center" vertical="center"/>
    </xf>
    <xf numFmtId="0" fontId="0" fillId="0" borderId="24" pivotButton="0" quotePrefix="0" xfId="0"/>
    <xf numFmtId="0" fontId="0" fillId="0" borderId="23" pivotButton="0" quotePrefix="0" xfId="0"/>
    <xf numFmtId="0" fontId="4" fillId="0" borderId="8" pivotButton="0" quotePrefix="0" xfId="0"/>
    <xf numFmtId="0" fontId="4" fillId="0" borderId="10" pivotButton="0" quotePrefix="0" xfId="0"/>
    <xf numFmtId="0" fontId="0" fillId="0" borderId="22" pivotButton="0" quotePrefix="0" xfId="0"/>
    <xf numFmtId="2" fontId="0" fillId="11" borderId="7" pivotButton="0" quotePrefix="0" xfId="0"/>
    <xf numFmtId="0" fontId="0" fillId="0" borderId="27" pivotButton="0" quotePrefix="0" xfId="0"/>
    <xf numFmtId="0" fontId="0" fillId="0" borderId="26" pivotButton="0" quotePrefix="0" xfId="0"/>
    <xf numFmtId="2" fontId="0" fillId="12" borderId="5" applyAlignment="1" pivotButton="0" quotePrefix="0" xfId="0">
      <alignment horizontal="center"/>
    </xf>
    <xf numFmtId="0" fontId="0" fillId="0" borderId="25" pivotButton="0" quotePrefix="0" xfId="0"/>
    <xf numFmtId="2" fontId="6" fillId="13" borderId="2" applyAlignment="1" pivotButton="0" quotePrefix="0" xfId="0">
      <alignment horizontal="center" vertical="center"/>
    </xf>
    <xf numFmtId="2" fontId="6" fillId="13" borderId="0" applyAlignment="1" pivotButton="0" quotePrefix="0" xfId="0">
      <alignment horizontal="center" vertical="center"/>
    </xf>
    <xf numFmtId="2" fontId="0" fillId="4" borderId="29" applyAlignment="1" pivotButton="0" quotePrefix="0" xfId="0">
      <alignment horizontal="center" vertical="center"/>
    </xf>
    <xf numFmtId="2" fontId="0" fillId="4" borderId="28" applyAlignment="1" pivotButton="0" quotePrefix="0" xfId="0">
      <alignment horizontal="center" vertical="center"/>
    </xf>
    <xf numFmtId="2" fontId="6" fillId="13" borderId="6" applyAlignment="1" pivotButton="0" quotePrefix="0" xfId="0">
      <alignment horizontal="center" vertical="center"/>
    </xf>
    <xf numFmtId="2" fontId="0" fillId="14" borderId="1" pivotButton="0" quotePrefix="0" xfId="0"/>
    <xf numFmtId="2" fontId="5" fillId="14" borderId="1" applyAlignment="1" pivotButton="0" quotePrefix="0" xfId="0">
      <alignment horizontal="center" vertical="center"/>
    </xf>
    <xf numFmtId="2" fontId="0" fillId="14" borderId="12" applyAlignment="1" pivotButton="0" quotePrefix="0" xfId="0">
      <alignment horizontal="center" vertical="center"/>
    </xf>
    <xf numFmtId="2" fontId="5" fillId="14" borderId="16" applyAlignment="1" pivotButton="0" quotePrefix="0" xfId="0">
      <alignment horizontal="center" vertical="center"/>
    </xf>
    <xf numFmtId="2" fontId="0" fillId="14" borderId="17" applyAlignment="1" pivotButton="0" quotePrefix="0" xfId="0">
      <alignment horizontal="center" vertical="center"/>
    </xf>
    <xf numFmtId="2" fontId="0" fillId="14" borderId="21" applyAlignment="1" pivotButton="0" quotePrefix="0" xfId="0">
      <alignment horizontal="center" vertical="center"/>
    </xf>
    <xf numFmtId="2" fontId="5" fillId="14" borderId="34" applyAlignment="1" pivotButton="0" quotePrefix="0" xfId="0">
      <alignment horizontal="center" vertical="center"/>
    </xf>
    <xf numFmtId="2" fontId="0" fillId="14" borderId="5" pivotButton="0" quotePrefix="0" xfId="0"/>
    <xf numFmtId="2" fontId="5" fillId="14" borderId="5" applyAlignment="1" pivotButton="0" quotePrefix="0" xfId="0">
      <alignment horizontal="center" vertical="center"/>
    </xf>
    <xf numFmtId="2" fontId="0" fillId="14" borderId="0" applyAlignment="1" pivotButton="0" quotePrefix="0" xfId="0">
      <alignment horizontal="center" vertical="center"/>
    </xf>
    <xf numFmtId="2" fontId="5" fillId="14" borderId="14" applyAlignment="1" pivotButton="0" quotePrefix="0" xfId="0">
      <alignment horizontal="center" vertical="center"/>
    </xf>
    <xf numFmtId="2" fontId="0" fillId="14" borderId="6" applyAlignment="1" pivotButton="0" quotePrefix="0" xfId="0">
      <alignment horizontal="center" vertical="center"/>
    </xf>
    <xf numFmtId="2" fontId="5" fillId="14" borderId="0" applyAlignment="1" pivotButton="0" quotePrefix="0" xfId="0">
      <alignment horizontal="center" vertical="center"/>
    </xf>
    <xf numFmtId="2" fontId="0" fillId="14" borderId="15" applyAlignment="1" pivotButton="0" quotePrefix="0" xfId="0">
      <alignment horizontal="center" vertical="center"/>
    </xf>
    <xf numFmtId="2" fontId="5" fillId="14" borderId="30" applyAlignment="1" pivotButton="0" quotePrefix="0" xfId="0">
      <alignment horizontal="center" vertical="center"/>
    </xf>
    <xf numFmtId="2" fontId="0" fillId="14" borderId="31" pivotButton="0" quotePrefix="0" xfId="0"/>
    <xf numFmtId="2" fontId="0" fillId="14" borderId="33" pivotButton="0" quotePrefix="0" xfId="0"/>
    <xf numFmtId="2" fontId="0" fillId="12" borderId="33" applyAlignment="1" pivotButton="0" quotePrefix="0" xfId="0">
      <alignment horizontal="center"/>
    </xf>
    <xf numFmtId="2" fontId="0" fillId="12" borderId="32" applyAlignment="1" pivotButton="0" quotePrefix="0" xfId="0">
      <alignment horizontal="center"/>
    </xf>
    <xf numFmtId="0" fontId="8" fillId="12" borderId="33" applyAlignment="1" pivotButton="0" quotePrefix="0" xfId="0">
      <alignment horizontal="center" vertical="center"/>
    </xf>
    <xf numFmtId="0" fontId="8" fillId="12" borderId="32" applyAlignment="1" pivotButton="0" quotePrefix="0" xfId="0">
      <alignment horizontal="center" vertical="center"/>
    </xf>
    <xf numFmtId="2" fontId="0" fillId="6" borderId="7" applyAlignment="1" pivotButton="0" quotePrefix="0" xfId="0">
      <alignment horizontal="center"/>
    </xf>
    <xf numFmtId="2" fontId="0" fillId="6" borderId="7" applyAlignment="1" pivotButton="0" quotePrefix="0" xfId="0">
      <alignment horizontal="center" vertical="center"/>
    </xf>
    <xf numFmtId="2" fontId="0" fillId="6" borderId="31" applyAlignment="1" pivotButton="0" quotePrefix="0" xfId="0">
      <alignment horizontal="center" vertical="center"/>
    </xf>
    <xf numFmtId="2" fontId="0" fillId="14" borderId="32" applyAlignment="1" pivotButton="0" quotePrefix="0" xfId="0">
      <alignment horizontal="center"/>
    </xf>
    <xf numFmtId="2" fontId="0" fillId="15" borderId="7" pivotButton="0" quotePrefix="0" xfId="0"/>
    <xf numFmtId="0" fontId="0" fillId="0" borderId="41" pivotButton="0" quotePrefix="0" xfId="0"/>
    <xf numFmtId="0" fontId="0" fillId="0" borderId="40" pivotButton="0" quotePrefix="0" xfId="0"/>
    <xf numFmtId="2" fontId="0" fillId="0" borderId="39" pivotButton="0" quotePrefix="0" xfId="0"/>
    <xf numFmtId="2" fontId="0" fillId="0" borderId="38" pivotButton="0" quotePrefix="0" xfId="0"/>
    <xf numFmtId="2" fontId="0" fillId="2" borderId="7" applyAlignment="1" pivotButton="0" quotePrefix="0" xfId="0">
      <alignment horizontal="center"/>
    </xf>
    <xf numFmtId="2" fontId="0" fillId="16" borderId="11" applyAlignment="1" pivotButton="0" quotePrefix="0" xfId="0">
      <alignment horizontal="center" vertical="center"/>
    </xf>
    <xf numFmtId="2" fontId="0" fillId="16" borderId="6" pivotButton="0" quotePrefix="0" xfId="0"/>
    <xf numFmtId="2" fontId="0" fillId="16" borderId="3" pivotButton="0" quotePrefix="0" xfId="0"/>
    <xf numFmtId="2" fontId="7" fillId="17" borderId="7" applyAlignment="1" pivotButton="0" quotePrefix="0" xfId="0">
      <alignment horizontal="center" vertical="center"/>
    </xf>
    <xf numFmtId="0" fontId="7" fillId="18" borderId="7" applyAlignment="1" pivotButton="0" quotePrefix="0" xfId="0">
      <alignment horizontal="center" vertical="center"/>
    </xf>
    <xf numFmtId="2" fontId="7" fillId="18" borderId="7" pivotButton="0" quotePrefix="0" xfId="0"/>
    <xf numFmtId="2" fontId="7" fillId="18" borderId="11" pivotButton="0" quotePrefix="0" xfId="0"/>
    <xf numFmtId="2" fontId="9" fillId="13" borderId="5" applyAlignment="1" pivotButton="0" quotePrefix="0" xfId="0">
      <alignment horizontal="center" vertical="center"/>
    </xf>
    <xf numFmtId="2" fontId="9" fillId="12" borderId="0" applyAlignment="1" pivotButton="0" quotePrefix="0" xfId="0">
      <alignment horizontal="center" vertical="center"/>
    </xf>
    <xf numFmtId="2" fontId="9" fillId="12" borderId="6" applyAlignment="1" pivotButton="0" quotePrefix="0" xfId="0">
      <alignment horizontal="center" vertical="center"/>
    </xf>
    <xf numFmtId="2" fontId="9" fillId="13" borderId="0" applyAlignment="1" pivotButton="0" quotePrefix="0" xfId="0">
      <alignment horizontal="center" vertical="center"/>
    </xf>
    <xf numFmtId="2" fontId="9" fillId="12" borderId="15" applyAlignment="1" pivotButton="0" quotePrefix="0" xfId="0">
      <alignment horizontal="center" vertical="center"/>
    </xf>
    <xf numFmtId="2" fontId="9" fillId="13" borderId="30" applyAlignment="1" pivotButton="0" quotePrefix="0" xfId="0">
      <alignment horizontal="center" vertical="center"/>
    </xf>
    <xf numFmtId="0" fontId="9" fillId="12" borderId="0" applyAlignment="1" pivotButton="0" quotePrefix="0" xfId="1">
      <alignment horizontal="center"/>
    </xf>
    <xf numFmtId="2" fontId="0" fillId="23" borderId="6" pivotButton="0" quotePrefix="0" xfId="0"/>
    <xf numFmtId="2" fontId="0" fillId="24" borderId="6" pivotButton="0" quotePrefix="0" xfId="0"/>
    <xf numFmtId="2" fontId="4" fillId="23" borderId="11" pivotButton="0" quotePrefix="0" xfId="0"/>
    <xf numFmtId="0" fontId="10" fillId="19" borderId="47" pivotButton="0" quotePrefix="0" xfId="0"/>
    <xf numFmtId="0" fontId="10" fillId="19" borderId="44" pivotButton="0" quotePrefix="0" xfId="0"/>
    <xf numFmtId="0" fontId="10" fillId="19" borderId="50" pivotButton="0" quotePrefix="0" xfId="0"/>
    <xf numFmtId="0" fontId="0" fillId="20" borderId="49" pivotButton="0" quotePrefix="0" xfId="0"/>
    <xf numFmtId="0" fontId="10" fillId="21" borderId="43" pivotButton="0" quotePrefix="0" xfId="0"/>
    <xf numFmtId="0" fontId="10" fillId="21" borderId="46" pivotButton="0" quotePrefix="0" xfId="0"/>
    <xf numFmtId="0" fontId="10" fillId="22" borderId="43" pivotButton="0" quotePrefix="0" xfId="0"/>
    <xf numFmtId="0" fontId="10" fillId="22" borderId="46" pivotButton="0" quotePrefix="0" xfId="0"/>
    <xf numFmtId="0" fontId="0" fillId="0" borderId="43" pivotButton="0" quotePrefix="0" xfId="0"/>
    <xf numFmtId="0" fontId="0" fillId="0" borderId="46" pivotButton="0" quotePrefix="0" xfId="0"/>
    <xf numFmtId="0" fontId="0" fillId="0" borderId="49" pivotButton="0" quotePrefix="0" xfId="0"/>
    <xf numFmtId="0" fontId="0" fillId="0" borderId="48" pivotButton="0" quotePrefix="0" xfId="0"/>
    <xf numFmtId="0" fontId="0" fillId="0" borderId="45" pivotButton="0" quotePrefix="0" xfId="0"/>
    <xf numFmtId="0" fontId="0" fillId="0" borderId="51" pivotButton="0" quotePrefix="0" xfId="0"/>
    <xf numFmtId="0" fontId="10" fillId="22" borderId="45" pivotButton="0" quotePrefix="0" xfId="0"/>
    <xf numFmtId="0" fontId="10" fillId="22" borderId="51" pivotButton="0" quotePrefix="0" xfId="0"/>
    <xf numFmtId="0" fontId="10" fillId="21" borderId="45" pivotButton="0" quotePrefix="0" xfId="0"/>
    <xf numFmtId="0" fontId="10" fillId="21" borderId="51" pivotButton="0" quotePrefix="0" xfId="0"/>
    <xf numFmtId="0" fontId="0" fillId="20" borderId="48" pivotButton="0" quotePrefix="0" xfId="0"/>
    <xf numFmtId="2" fontId="0" fillId="4" borderId="9" applyAlignment="1" pivotButton="0" quotePrefix="0" xfId="0">
      <alignment horizontal="center"/>
    </xf>
    <xf numFmtId="0" fontId="0" fillId="0" borderId="4" pivotButton="0" quotePrefix="0" xfId="0"/>
    <xf numFmtId="0" fontId="0" fillId="5" borderId="7" applyAlignment="1" pivotButton="0" quotePrefix="0" xfId="0">
      <alignment horizontal="center"/>
    </xf>
    <xf numFmtId="0" fontId="0" fillId="0" borderId="11" pivotButton="0" quotePrefix="0" xfId="0"/>
    <xf numFmtId="2" fontId="0" fillId="15" borderId="10" applyAlignment="1" pivotButton="0" quotePrefix="0" xfId="0">
      <alignment horizontal="center"/>
    </xf>
    <xf numFmtId="0" fontId="0" fillId="0" borderId="8" pivotButton="0" quotePrefix="0" xfId="0"/>
    <xf numFmtId="2" fontId="0" fillId="12" borderId="6" applyAlignment="1" pivotButton="0" quotePrefix="0" xfId="0">
      <alignment horizontal="center"/>
    </xf>
    <xf numFmtId="0" fontId="0" fillId="0" borderId="6" pivotButton="0" quotePrefix="0" xfId="0"/>
    <xf numFmtId="2" fontId="0" fillId="15" borderId="7" applyAlignment="1" pivotButton="0" quotePrefix="0" xfId="0">
      <alignment horizontal="center"/>
    </xf>
    <xf numFmtId="2" fontId="0" fillId="15" borderId="11" applyAlignment="1" pivotButton="0" quotePrefix="0" xfId="0">
      <alignment horizontal="center"/>
    </xf>
    <xf numFmtId="2" fontId="0" fillId="15" borderId="8" applyAlignment="1" pivotButton="0" quotePrefix="0" xfId="0">
      <alignment horizontal="center"/>
    </xf>
    <xf numFmtId="2" fontId="0" fillId="12" borderId="35" applyAlignment="1" pivotButton="0" quotePrefix="0" xfId="0">
      <alignment horizontal="center"/>
    </xf>
    <xf numFmtId="0" fontId="0" fillId="0" borderId="3" pivotButton="0" quotePrefix="0" xfId="0"/>
    <xf numFmtId="2" fontId="0" fillId="12" borderId="3" applyAlignment="1" pivotButton="0" quotePrefix="0" xfId="0">
      <alignment horizontal="center"/>
    </xf>
    <xf numFmtId="2" fontId="0" fillId="12" borderId="13" applyAlignment="1" pivotButton="0" quotePrefix="0" xfId="0">
      <alignment horizontal="center"/>
    </xf>
    <xf numFmtId="0" fontId="0" fillId="0" borderId="13" pivotButton="0" quotePrefix="0" xfId="0"/>
    <xf numFmtId="2" fontId="0" fillId="12" borderId="2" applyAlignment="1" pivotButton="0" quotePrefix="0" xfId="0">
      <alignment horizontal="center"/>
    </xf>
    <xf numFmtId="2" fontId="0" fillId="12" borderId="36" applyAlignment="1" pivotButton="0" quotePrefix="0" xfId="0">
      <alignment horizontal="center"/>
    </xf>
    <xf numFmtId="2" fontId="0" fillId="12" borderId="0" applyAlignment="1" pivotButton="0" quotePrefix="0" xfId="0">
      <alignment horizontal="center"/>
    </xf>
    <xf numFmtId="2" fontId="0" fillId="0" borderId="0" pivotButton="0" quotePrefix="0" xfId="0"/>
    <xf numFmtId="2" fontId="0" fillId="12" borderId="37" applyAlignment="1" pivotButton="0" quotePrefix="0" xfId="0">
      <alignment horizontal="center"/>
    </xf>
    <xf numFmtId="0" fontId="0" fillId="5" borderId="42" applyAlignment="1" pivotButton="0" quotePrefix="0" xfId="0">
      <alignment horizontal="center"/>
    </xf>
    <xf numFmtId="0" fontId="0" fillId="0" borderId="18" pivotButton="0" quotePrefix="0" xfId="0"/>
    <xf numFmtId="0" fontId="1" fillId="2" borderId="7" applyAlignment="1" pivotButton="0" quotePrefix="0" xfId="0">
      <alignment horizontal="center"/>
    </xf>
    <xf numFmtId="0" fontId="0" fillId="5" borderId="28" applyAlignment="1" pivotButton="0" quotePrefix="0" xfId="0">
      <alignment horizontal="center"/>
    </xf>
    <xf numFmtId="0" fontId="0" fillId="0" borderId="28" pivotButton="0" quotePrefix="0" xfId="0"/>
    <xf numFmtId="2" fontId="0" fillId="2" borderId="42" applyAlignment="1" pivotButton="0" quotePrefix="0" xfId="0">
      <alignment horizontal="center"/>
    </xf>
    <xf numFmtId="2" fontId="0" fillId="3" borderId="42" applyAlignment="1" pivotButton="0" quotePrefix="0" xfId="0">
      <alignment horizontal="center"/>
    </xf>
    <xf numFmtId="2" fontId="0" fillId="4" borderId="42" applyAlignment="1" pivotButton="0" quotePrefix="0" xfId="0">
      <alignment horizontal="center"/>
    </xf>
    <xf numFmtId="2" fontId="0" fillId="4" borderId="18" applyAlignment="1" pivotButton="0" quotePrefix="0" xfId="0">
      <alignment horizontal="center"/>
    </xf>
    <xf numFmtId="0" fontId="0" fillId="5" borderId="11" applyAlignment="1" pivotButton="0" quotePrefix="0" xfId="0">
      <alignment horizontal="center"/>
    </xf>
    <xf numFmtId="2" fontId="0" fillId="2" borderId="47" applyAlignment="1" pivotButton="0" quotePrefix="0" xfId="0">
      <alignment horizontal="center"/>
    </xf>
    <xf numFmtId="2" fontId="0" fillId="3" borderId="47" applyAlignment="1" pivotButton="0" quotePrefix="0" xfId="0">
      <alignment horizontal="center"/>
    </xf>
    <xf numFmtId="2" fontId="0" fillId="4" borderId="47" applyAlignment="1" pivotButton="0" quotePrefix="0" xfId="0">
      <alignment horizontal="center"/>
    </xf>
    <xf numFmtId="2" fontId="11" fillId="13" borderId="5" applyAlignment="1" pivotButton="0" quotePrefix="0" xfId="0">
      <alignment horizontal="center" vertical="center"/>
    </xf>
    <xf numFmtId="2" fontId="11" fillId="12" borderId="0" applyAlignment="1" pivotButton="0" quotePrefix="0" xfId="0">
      <alignment horizontal="center" vertical="center"/>
    </xf>
    <xf numFmtId="2" fontId="11" fillId="12" borderId="6" applyAlignment="1" pivotButton="0" quotePrefix="0" xfId="0">
      <alignment horizontal="center" vertical="center"/>
    </xf>
    <xf numFmtId="2" fontId="11" fillId="13" borderId="0" applyAlignment="1" pivotButton="0" quotePrefix="0" xfId="0">
      <alignment horizontal="center" vertical="center"/>
    </xf>
    <xf numFmtId="2" fontId="11" fillId="12" borderId="15" applyAlignment="1" pivotButton="0" quotePrefix="0" xfId="0">
      <alignment horizontal="center" vertical="center"/>
    </xf>
    <xf numFmtId="2" fontId="11" fillId="13" borderId="30" applyAlignment="1" pivotButton="0" quotePrefix="0" xfId="0">
      <alignment horizontal="center" vertical="center"/>
    </xf>
    <xf numFmtId="0" fontId="11" fillId="12" borderId="0" applyAlignment="1" pivotButton="0" quotePrefix="0" xfId="1">
      <alignment horizontal="center"/>
    </xf>
    <xf numFmtId="2" fontId="11" fillId="13" borderId="2" applyAlignment="1" pivotButton="0" quotePrefix="0" xfId="0">
      <alignment horizontal="center" vertical="center"/>
    </xf>
    <xf numFmtId="2" fontId="11" fillId="13" borderId="6" applyAlignment="1" pivotButton="0" quotePrefix="0" xfId="0">
      <alignment horizontal="center" vertical="center"/>
    </xf>
    <xf numFmtId="0" fontId="0" fillId="5" borderId="47" applyAlignment="1" pivotButton="0" quotePrefix="0" xfId="0">
      <alignment horizontal="center"/>
    </xf>
    <xf numFmtId="2" fontId="0" fillId="29" borderId="6" pivotButton="0" quotePrefix="0" xfId="0"/>
    <xf numFmtId="2" fontId="0" fillId="30" borderId="6" pivotButton="0" quotePrefix="0" xfId="0"/>
    <xf numFmtId="2" fontId="4" fillId="29" borderId="11" pivotButton="0" quotePrefix="0" xfId="0"/>
    <xf numFmtId="0" fontId="12" fillId="25" borderId="61" pivotButton="0" quotePrefix="0" xfId="0"/>
    <xf numFmtId="0" fontId="12" fillId="25" borderId="55" pivotButton="0" quotePrefix="0" xfId="0"/>
    <xf numFmtId="0" fontId="12" fillId="25" borderId="64" pivotButton="0" quotePrefix="0" xfId="0"/>
    <xf numFmtId="0" fontId="0" fillId="26" borderId="63" pivotButton="0" quotePrefix="0" xfId="0"/>
    <xf numFmtId="0" fontId="12" fillId="27" borderId="52" pivotButton="0" quotePrefix="0" xfId="0"/>
    <xf numFmtId="0" fontId="12" fillId="27" borderId="60" pivotButton="0" quotePrefix="0" xfId="0"/>
    <xf numFmtId="0" fontId="0" fillId="0" borderId="52" pivotButton="0" quotePrefix="0" xfId="0"/>
    <xf numFmtId="0" fontId="0" fillId="0" borderId="60" pivotButton="0" quotePrefix="0" xfId="0"/>
    <xf numFmtId="0" fontId="12" fillId="28" borderId="52" pivotButton="0" quotePrefix="0" xfId="0"/>
    <xf numFmtId="0" fontId="12" fillId="28" borderId="60" pivotButton="0" quotePrefix="0" xfId="0"/>
    <xf numFmtId="0" fontId="0" fillId="0" borderId="63" pivotButton="0" quotePrefix="0" xfId="0"/>
    <xf numFmtId="0" fontId="0" fillId="0" borderId="62" pivotButton="0" quotePrefix="0" xfId="0"/>
    <xf numFmtId="0" fontId="0" fillId="0" borderId="56" pivotButton="0" quotePrefix="0" xfId="0"/>
    <xf numFmtId="0" fontId="0" fillId="0" borderId="65" pivotButton="0" quotePrefix="0" xfId="0"/>
    <xf numFmtId="0" fontId="0" fillId="26" borderId="62" pivotButton="0" quotePrefix="0" xfId="0"/>
    <xf numFmtId="0" fontId="12" fillId="28" borderId="56" pivotButton="0" quotePrefix="0" xfId="0"/>
    <xf numFmtId="0" fontId="12" fillId="28" borderId="65" pivotButton="0" quotePrefix="0" xfId="0"/>
    <xf numFmtId="0" fontId="12" fillId="27" borderId="56" pivotButton="0" quotePrefix="0" xfId="0"/>
    <xf numFmtId="0" fontId="12" fillId="27" borderId="65" pivotButton="0" quotePrefix="0" xfId="0"/>
  </cellXfs>
  <cellStyles count="2">
    <cellStyle name="Normal" xfId="0" builtinId="0"/>
    <cellStyle name="Lien hypertexte" xfId="1" builtinId="8"/>
  </cellStyles>
  <dxfs count="2">
    <dxf>
      <fill>
        <patternFill>
          <bgColor theme="6" tint="0.5999633777886288"/>
        </patternFill>
      </fill>
    </dxf>
    <dxf>
      <fill>
        <patternFill>
          <bgColor theme="5" tint="0.599963377788628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Details!C2" TargetMode="External" Id="rId1"/><Relationship Type="http://schemas.openxmlformats.org/officeDocument/2006/relationships/hyperlink" Target="#Details!C2" TargetMode="External" Id="rId2"/><Relationship Type="http://schemas.openxmlformats.org/officeDocument/2006/relationships/hyperlink" Target="#Details!C12" TargetMode="External" Id="rId3"/><Relationship Type="http://schemas.openxmlformats.org/officeDocument/2006/relationships/hyperlink" Target="#Details!C12" TargetMode="External" Id="rId4"/><Relationship Type="http://schemas.openxmlformats.org/officeDocument/2006/relationships/hyperlink" Target="#Details!C24" TargetMode="External" Id="rId5"/><Relationship Type="http://schemas.openxmlformats.org/officeDocument/2006/relationships/hyperlink" Target="#Details!C24" TargetMode="External" Id="rId6"/><Relationship Type="http://schemas.openxmlformats.org/officeDocument/2006/relationships/hyperlink" Target="#Details!C40" TargetMode="External" Id="rId7"/><Relationship Type="http://schemas.openxmlformats.org/officeDocument/2006/relationships/hyperlink" Target="#Details!C40" TargetMode="External" Id="rId8"/><Relationship Type="http://schemas.openxmlformats.org/officeDocument/2006/relationships/hyperlink" Target="#Details!C52" TargetMode="External" Id="rId9"/><Relationship Type="http://schemas.openxmlformats.org/officeDocument/2006/relationships/hyperlink" Target="#Details!C52" TargetMode="External" Id="rId10"/><Relationship Type="http://schemas.openxmlformats.org/officeDocument/2006/relationships/hyperlink" Target="#Details!C73" TargetMode="External" Id="rId11"/><Relationship Type="http://schemas.openxmlformats.org/officeDocument/2006/relationships/hyperlink" Target="#Details!C73" TargetMode="External" Id="rId12"/><Relationship Type="http://schemas.openxmlformats.org/officeDocument/2006/relationships/hyperlink" Target="#Details!C97" TargetMode="External" Id="rId13"/><Relationship Type="http://schemas.openxmlformats.org/officeDocument/2006/relationships/hyperlink" Target="#Details!C97" TargetMode="External" Id="rId14"/><Relationship Type="http://schemas.openxmlformats.org/officeDocument/2006/relationships/hyperlink" Target="#Details!C138" TargetMode="External" Id="rId15"/><Relationship Type="http://schemas.openxmlformats.org/officeDocument/2006/relationships/hyperlink" Target="#Details!C138" TargetMode="External" Id="rId16"/><Relationship Type="http://schemas.openxmlformats.org/officeDocument/2006/relationships/hyperlink" Target="#Details!C145" TargetMode="External" Id="rId17"/><Relationship Type="http://schemas.openxmlformats.org/officeDocument/2006/relationships/hyperlink" Target="#Details!C145" TargetMode="External" Id="rId18"/><Relationship Type="http://schemas.openxmlformats.org/officeDocument/2006/relationships/hyperlink" Target="#Details!C152" TargetMode="External" Id="rId19"/><Relationship Type="http://schemas.openxmlformats.org/officeDocument/2006/relationships/hyperlink" Target="#Details!C152" TargetMode="External" Id="rId20"/><Relationship Type="http://schemas.openxmlformats.org/officeDocument/2006/relationships/hyperlink" Target="#Details!C159" TargetMode="External" Id="rId21"/><Relationship Type="http://schemas.openxmlformats.org/officeDocument/2006/relationships/hyperlink" Target="#Details!C159" TargetMode="External" Id="rId22"/><Relationship Type="http://schemas.openxmlformats.org/officeDocument/2006/relationships/hyperlink" Target="#Details!C168" TargetMode="External" Id="rId23"/><Relationship Type="http://schemas.openxmlformats.org/officeDocument/2006/relationships/hyperlink" Target="#Details!C168" TargetMode="External" Id="rId24"/><Relationship Type="http://schemas.openxmlformats.org/officeDocument/2006/relationships/hyperlink" Target="#Details!C175" TargetMode="External" Id="rId25"/><Relationship Type="http://schemas.openxmlformats.org/officeDocument/2006/relationships/hyperlink" Target="#Details!C175" TargetMode="External" Id="rId26"/><Relationship Type="http://schemas.openxmlformats.org/officeDocument/2006/relationships/hyperlink" Target="#Details!C182" TargetMode="External" Id="rId27"/><Relationship Type="http://schemas.openxmlformats.org/officeDocument/2006/relationships/hyperlink" Target="#Details!C182" TargetMode="External" Id="rId28"/><Relationship Type="http://schemas.openxmlformats.org/officeDocument/2006/relationships/hyperlink" Target="#Details!C189" TargetMode="External" Id="rId29"/><Relationship Type="http://schemas.openxmlformats.org/officeDocument/2006/relationships/hyperlink" Target="#Details!C189" TargetMode="External" Id="rId30"/><Relationship Type="http://schemas.openxmlformats.org/officeDocument/2006/relationships/hyperlink" Target="#Details!C196" TargetMode="External" Id="rId31"/><Relationship Type="http://schemas.openxmlformats.org/officeDocument/2006/relationships/hyperlink" Target="#Details!C196" TargetMode="External" Id="rId32"/><Relationship Type="http://schemas.openxmlformats.org/officeDocument/2006/relationships/hyperlink" Target="#Details!C203" TargetMode="External" Id="rId33"/><Relationship Type="http://schemas.openxmlformats.org/officeDocument/2006/relationships/hyperlink" Target="#Details!C203" TargetMode="External" Id="rId34"/><Relationship Type="http://schemas.openxmlformats.org/officeDocument/2006/relationships/hyperlink" Target="#Details!C218" TargetMode="External" Id="rId35"/><Relationship Type="http://schemas.openxmlformats.org/officeDocument/2006/relationships/hyperlink" Target="#Details!C218" TargetMode="External" Id="rId36"/><Relationship Type="http://schemas.openxmlformats.org/officeDocument/2006/relationships/hyperlink" Target="#Details!C225" TargetMode="External" Id="rId37"/><Relationship Type="http://schemas.openxmlformats.org/officeDocument/2006/relationships/hyperlink" Target="#Details!C225" TargetMode="External" Id="rId38"/><Relationship Type="http://schemas.openxmlformats.org/officeDocument/2006/relationships/hyperlink" Target="#Details!C236" TargetMode="External" Id="rId39"/><Relationship Type="http://schemas.openxmlformats.org/officeDocument/2006/relationships/hyperlink" Target="#Details!C236" TargetMode="External" Id="rId40"/><Relationship Type="http://schemas.openxmlformats.org/officeDocument/2006/relationships/hyperlink" Target="#Details!C247" TargetMode="External" Id="rId41"/><Relationship Type="http://schemas.openxmlformats.org/officeDocument/2006/relationships/hyperlink" Target="#Details!C247" TargetMode="External" Id="rId42"/><Relationship Type="http://schemas.openxmlformats.org/officeDocument/2006/relationships/hyperlink" Target="#Details!C257" TargetMode="External" Id="rId43"/><Relationship Type="http://schemas.openxmlformats.org/officeDocument/2006/relationships/hyperlink" Target="#Details!C257" TargetMode="External" Id="rId44"/><Relationship Type="http://schemas.openxmlformats.org/officeDocument/2006/relationships/hyperlink" Target="#Details!C267" TargetMode="External" Id="rId45"/><Relationship Type="http://schemas.openxmlformats.org/officeDocument/2006/relationships/hyperlink" Target="#Details!C267" TargetMode="External" Id="rId46"/><Relationship Type="http://schemas.openxmlformats.org/officeDocument/2006/relationships/hyperlink" Target="#Details!C280" TargetMode="External" Id="rId47"/><Relationship Type="http://schemas.openxmlformats.org/officeDocument/2006/relationships/hyperlink" Target="#Details!C280" TargetMode="External" Id="rId48"/><Relationship Type="http://schemas.openxmlformats.org/officeDocument/2006/relationships/hyperlink" Target="#Details!C294" TargetMode="External" Id="rId49"/><Relationship Type="http://schemas.openxmlformats.org/officeDocument/2006/relationships/hyperlink" Target="#Details!C294" TargetMode="External" Id="rId50"/><Relationship Type="http://schemas.openxmlformats.org/officeDocument/2006/relationships/hyperlink" Target="#Details!C301" TargetMode="External" Id="rId51"/><Relationship Type="http://schemas.openxmlformats.org/officeDocument/2006/relationships/hyperlink" Target="#Details!C301" TargetMode="External" Id="rId52"/><Relationship Type="http://schemas.openxmlformats.org/officeDocument/2006/relationships/hyperlink" Target="#Details!C329" TargetMode="External" Id="rId53"/><Relationship Type="http://schemas.openxmlformats.org/officeDocument/2006/relationships/hyperlink" Target="#Details!C329" TargetMode="External" Id="rId54"/><Relationship Type="http://schemas.openxmlformats.org/officeDocument/2006/relationships/hyperlink" Target="#Details!C370" TargetMode="External" Id="rId55"/><Relationship Type="http://schemas.openxmlformats.org/officeDocument/2006/relationships/hyperlink" Target="#Details!C370" TargetMode="External" Id="rId56"/><Relationship Type="http://schemas.openxmlformats.org/officeDocument/2006/relationships/hyperlink" Target="#Details!C420" TargetMode="External" Id="rId57"/><Relationship Type="http://schemas.openxmlformats.org/officeDocument/2006/relationships/hyperlink" Target="#Details!C420" TargetMode="External" Id="rId58"/><Relationship Type="http://schemas.openxmlformats.org/officeDocument/2006/relationships/hyperlink" Target="#Details!C462" TargetMode="External" Id="rId59"/><Relationship Type="http://schemas.openxmlformats.org/officeDocument/2006/relationships/hyperlink" Target="#Details!C462" TargetMode="External" Id="rId60"/><Relationship Type="http://schemas.openxmlformats.org/officeDocument/2006/relationships/hyperlink" Target="#Details!C516" TargetMode="External" Id="rId61"/><Relationship Type="http://schemas.openxmlformats.org/officeDocument/2006/relationships/hyperlink" Target="#Details!C516" TargetMode="External" Id="rId62"/><Relationship Type="http://schemas.openxmlformats.org/officeDocument/2006/relationships/hyperlink" Target="#Details!C559" TargetMode="External" Id="rId63"/><Relationship Type="http://schemas.openxmlformats.org/officeDocument/2006/relationships/hyperlink" Target="#Details!C559" TargetMode="External" Id="rId64"/><Relationship Type="http://schemas.openxmlformats.org/officeDocument/2006/relationships/hyperlink" Target="#Details!C573" TargetMode="External" Id="rId65"/><Relationship Type="http://schemas.openxmlformats.org/officeDocument/2006/relationships/hyperlink" Target="#Details!C573" TargetMode="External" Id="rId66"/><Relationship Type="http://schemas.openxmlformats.org/officeDocument/2006/relationships/hyperlink" Target="#Details!C582" TargetMode="External" Id="rId67"/><Relationship Type="http://schemas.openxmlformats.org/officeDocument/2006/relationships/hyperlink" Target="#Details!C582" TargetMode="External" Id="rId68"/><Relationship Type="http://schemas.openxmlformats.org/officeDocument/2006/relationships/hyperlink" Target="#Details!C589" TargetMode="External" Id="rId69"/><Relationship Type="http://schemas.openxmlformats.org/officeDocument/2006/relationships/hyperlink" Target="#Details!C589" TargetMode="External" Id="rId70"/><Relationship Type="http://schemas.openxmlformats.org/officeDocument/2006/relationships/hyperlink" Target="#Details!C596" TargetMode="External" Id="rId71"/><Relationship Type="http://schemas.openxmlformats.org/officeDocument/2006/relationships/hyperlink" Target="#Details!C596" TargetMode="External" Id="rId72"/><Relationship Type="http://schemas.openxmlformats.org/officeDocument/2006/relationships/hyperlink" Target="#Details!C603" TargetMode="External" Id="rId73"/><Relationship Type="http://schemas.openxmlformats.org/officeDocument/2006/relationships/hyperlink" Target="#Details!C603" TargetMode="External" Id="rId74"/><Relationship Type="http://schemas.openxmlformats.org/officeDocument/2006/relationships/hyperlink" Target="#Details!C610" TargetMode="External" Id="rId75"/><Relationship Type="http://schemas.openxmlformats.org/officeDocument/2006/relationships/hyperlink" Target="#Details!C610" TargetMode="External" Id="rId76"/><Relationship Type="http://schemas.openxmlformats.org/officeDocument/2006/relationships/hyperlink" Target="#Details!C627" TargetMode="External" Id="rId77"/><Relationship Type="http://schemas.openxmlformats.org/officeDocument/2006/relationships/hyperlink" Target="#Details!C627" TargetMode="External" Id="rId78"/><Relationship Type="http://schemas.openxmlformats.org/officeDocument/2006/relationships/hyperlink" Target="#Details!C651" TargetMode="External" Id="rId79"/><Relationship Type="http://schemas.openxmlformats.org/officeDocument/2006/relationships/hyperlink" Target="#Details!C651" TargetMode="External" Id="rId80"/><Relationship Type="http://schemas.openxmlformats.org/officeDocument/2006/relationships/hyperlink" Target="#Details!C684" TargetMode="External" Id="rId81"/><Relationship Type="http://schemas.openxmlformats.org/officeDocument/2006/relationships/hyperlink" Target="#Details!C684" TargetMode="External" Id="rId82"/><Relationship Type="http://schemas.openxmlformats.org/officeDocument/2006/relationships/hyperlink" Target="#Details!C711" TargetMode="External" Id="rId83"/><Relationship Type="http://schemas.openxmlformats.org/officeDocument/2006/relationships/hyperlink" Target="#Details!C711" TargetMode="External" Id="rId84"/><Relationship Type="http://schemas.openxmlformats.org/officeDocument/2006/relationships/hyperlink" Target="#Details!C735" TargetMode="External" Id="rId85"/><Relationship Type="http://schemas.openxmlformats.org/officeDocument/2006/relationships/hyperlink" Target="#Details!C735" TargetMode="External" Id="rId86"/><Relationship Type="http://schemas.openxmlformats.org/officeDocument/2006/relationships/hyperlink" Target="#Details!C761" TargetMode="External" Id="rId87"/><Relationship Type="http://schemas.openxmlformats.org/officeDocument/2006/relationships/hyperlink" Target="#Details!C761" TargetMode="External" Id="rId88"/><Relationship Type="http://schemas.openxmlformats.org/officeDocument/2006/relationships/hyperlink" Target="#Details!C771" TargetMode="External" Id="rId89"/><Relationship Type="http://schemas.openxmlformats.org/officeDocument/2006/relationships/hyperlink" Target="#Details!C771" TargetMode="External" Id="rId90"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CT88"/>
  <sheetViews>
    <sheetView tabSelected="1" topLeftCell="A75" zoomScale="130" zoomScaleNormal="130" workbookViewId="0">
      <pane xSplit="1" topLeftCell="B1" activePane="topRight" state="frozen"/>
      <selection pane="topRight" activeCell="C88" sqref="A1"/>
    </sheetView>
  </sheetViews>
  <sheetFormatPr baseColWidth="10" defaultColWidth="8.88671875" defaultRowHeight="14.4"/>
  <cols>
    <col width="15.88671875" customWidth="1" style="134" min="1" max="1"/>
    <col width="12.44140625" customWidth="1" style="134" min="2" max="2"/>
    <col width="22.109375" customWidth="1" style="134" min="3" max="3"/>
    <col width="17.6640625" customWidth="1" style="134" min="4" max="4"/>
    <col width="21.33203125" customWidth="1" style="134" min="5" max="5"/>
    <col width="45.21875" customWidth="1" style="134" min="6" max="6"/>
    <col width="21.6640625" customWidth="1" style="134" min="7" max="7"/>
    <col width="18.77734375" customWidth="1" style="134" min="8" max="8"/>
    <col width="18.44140625" customWidth="1" style="134" min="9" max="9"/>
    <col width="15.6640625" customWidth="1" style="134" min="10" max="10"/>
    <col width="16.6640625" customWidth="1" style="134" min="11" max="11"/>
    <col width="19" customWidth="1" style="134" min="12" max="12"/>
    <col width="18.109375" customWidth="1" style="134" min="13" max="13"/>
    <col width="17.109375" customWidth="1" style="134" min="14" max="14"/>
    <col width="18.33203125" customWidth="1" style="134" min="15" max="15"/>
    <col width="19.5546875" customWidth="1" style="134" min="16" max="16"/>
    <col width="19.33203125" customWidth="1" style="134" min="17" max="17"/>
    <col width="18.33203125" customWidth="1" style="134" min="18" max="18"/>
    <col width="18.109375" customWidth="1" style="134" min="19" max="19"/>
    <col width="23.44140625" customWidth="1" style="134" min="20" max="20"/>
    <col width="15" customWidth="1" style="134" min="21" max="21"/>
    <col hidden="1" width="13" customWidth="1" style="134" min="22" max="22"/>
    <col width="8.88671875" customWidth="1" style="134" min="23" max="83"/>
    <col width="8.88671875" customWidth="1" style="134" min="84" max="16384"/>
  </cols>
  <sheetData>
    <row r="1" ht="34.8" customHeight="1" thickBot="1">
      <c r="E1" s="82" t="inlineStr">
        <is>
          <t>Production Dashboard</t>
        </is>
      </c>
      <c r="F1" s="83" t="inlineStr">
        <is>
          <t>Exception Report du : 2026-04-10 08:24:59</t>
        </is>
      </c>
      <c r="G1" s="84" t="n"/>
      <c r="H1" s="83" t="inlineStr">
        <is>
          <t>Fichier mis à jour le: 2026-04-10 09:41:56</t>
        </is>
      </c>
      <c r="I1" s="85" t="n"/>
    </row>
    <row r="2" ht="15" customHeight="1" thickBot="1">
      <c r="A2" s="69" t="inlineStr">
        <is>
          <t>Carnet Client</t>
        </is>
      </c>
      <c r="B2" s="146" t="inlineStr">
        <is>
          <t>Backlog</t>
        </is>
      </c>
      <c r="C2" s="137" t="n"/>
      <c r="D2" s="147" t="inlineStr">
        <is>
          <t>Forecast W15</t>
        </is>
      </c>
      <c r="E2" s="137" t="n"/>
      <c r="F2" s="148" t="inlineStr">
        <is>
          <t>Forecast W16</t>
        </is>
      </c>
      <c r="G2" s="137" t="n"/>
      <c r="H2" s="148" t="inlineStr">
        <is>
          <t>Forecast W17</t>
        </is>
      </c>
      <c r="I2" s="137" t="n"/>
      <c r="J2" s="144" t="inlineStr">
        <is>
          <t>Forecast W18</t>
        </is>
      </c>
      <c r="K2" s="137" t="n"/>
      <c r="L2" s="115" t="inlineStr">
        <is>
          <t>Forecast W19</t>
        </is>
      </c>
      <c r="M2" s="116" t="n"/>
      <c r="N2" s="115" t="inlineStr">
        <is>
          <t>Forecast W20</t>
        </is>
      </c>
      <c r="O2" s="116" t="n"/>
      <c r="P2" s="115" t="inlineStr">
        <is>
          <t>Forecast W21</t>
        </is>
      </c>
      <c r="Q2" s="116" t="n"/>
      <c r="R2" s="115" t="inlineStr">
        <is>
          <t>Forecast W22</t>
        </is>
      </c>
      <c r="S2" s="116" t="n"/>
      <c r="T2" s="148" t="inlineStr">
        <is>
          <t>Forecast W23</t>
        </is>
      </c>
      <c r="U2" s="137" t="n"/>
    </row>
    <row r="3" ht="15" customHeight="1" thickBot="1">
      <c r="B3" s="5" t="inlineStr">
        <is>
          <t>Postes</t>
        </is>
      </c>
      <c r="C3" s="27" t="inlineStr">
        <is>
          <t>Tonnes</t>
        </is>
      </c>
      <c r="D3" s="28" t="inlineStr">
        <is>
          <t>Postes</t>
        </is>
      </c>
      <c r="E3" s="31" t="inlineStr">
        <is>
          <t>Tonnes</t>
        </is>
      </c>
      <c r="F3" s="18" t="inlineStr">
        <is>
          <t>Postes</t>
        </is>
      </c>
      <c r="G3" s="17" t="inlineStr">
        <is>
          <t>Tonnes</t>
        </is>
      </c>
      <c r="H3" s="18" t="inlineStr">
        <is>
          <t>Postes</t>
        </is>
      </c>
      <c r="I3" s="32" t="inlineStr">
        <is>
          <t>Tonnes</t>
        </is>
      </c>
      <c r="J3" s="17" t="inlineStr">
        <is>
          <t>Postes</t>
        </is>
      </c>
      <c r="K3" s="15" t="inlineStr">
        <is>
          <t>Tonnes</t>
        </is>
      </c>
      <c r="L3" s="18" t="inlineStr">
        <is>
          <t>Postes</t>
        </is>
      </c>
      <c r="M3" s="15" t="inlineStr">
        <is>
          <t>Tonnes</t>
        </is>
      </c>
      <c r="N3" s="18" t="inlineStr">
        <is>
          <t>Postes</t>
        </is>
      </c>
      <c r="O3" s="15" t="inlineStr">
        <is>
          <t>Tonnes</t>
        </is>
      </c>
      <c r="P3" s="18" t="inlineStr">
        <is>
          <t>Postes</t>
        </is>
      </c>
      <c r="Q3" s="15" t="inlineStr">
        <is>
          <t>Tonnes</t>
        </is>
      </c>
      <c r="R3" s="18" t="inlineStr">
        <is>
          <t>Postes</t>
        </is>
      </c>
      <c r="S3" s="45" t="inlineStr">
        <is>
          <t>Tonnes</t>
        </is>
      </c>
      <c r="T3" s="18" t="inlineStr">
        <is>
          <t>Postes</t>
        </is>
      </c>
      <c r="U3" s="46" t="inlineStr">
        <is>
          <t>Tonnes</t>
        </is>
      </c>
    </row>
    <row r="4">
      <c r="A4" s="48" t="inlineStr">
        <is>
          <t>L1</t>
        </is>
      </c>
      <c r="B4" s="49">
        <f>SUM(B5,B6)</f>
        <v/>
      </c>
      <c r="C4" s="50">
        <f>SUM(C5,C6)</f>
        <v/>
      </c>
      <c r="D4" s="51">
        <f>SUM(D5,D6)</f>
        <v/>
      </c>
      <c r="E4" s="52">
        <f>SUM(E5,E6)</f>
        <v/>
      </c>
      <c r="F4" s="51">
        <f>SUM(F5,F6)</f>
        <v/>
      </c>
      <c r="G4" s="52">
        <f>SUM(G5,G6)</f>
        <v/>
      </c>
      <c r="H4" s="51">
        <f>SUM(H5,H6)</f>
        <v/>
      </c>
      <c r="I4" s="52">
        <f>SUM(I5,I6)</f>
        <v/>
      </c>
      <c r="J4" s="51">
        <f>SUM(J5,J6)</f>
        <v/>
      </c>
      <c r="K4" s="52">
        <f>SUM(K5,K6)</f>
        <v/>
      </c>
      <c r="L4" s="51">
        <f>SUM(L5,L6)</f>
        <v/>
      </c>
      <c r="M4" s="52">
        <f>SUM(M5,M6)</f>
        <v/>
      </c>
      <c r="N4" s="51">
        <f>SUM(N5,N6)</f>
        <v/>
      </c>
      <c r="O4" s="52">
        <f>SUM(O5,O6)</f>
        <v/>
      </c>
      <c r="P4" s="51">
        <f>SUM(P5,P6)</f>
        <v/>
      </c>
      <c r="Q4" s="52">
        <f>SUM(Q5,Q6)</f>
        <v/>
      </c>
      <c r="R4" s="51">
        <f>SUM(R5,R6)</f>
        <v/>
      </c>
      <c r="S4" s="52">
        <f>SUM(S5,S6)</f>
        <v/>
      </c>
      <c r="T4" s="54">
        <f>SUM(T5,T6)</f>
        <v/>
      </c>
      <c r="U4" s="53">
        <f>SUM(U5,U6)</f>
        <v/>
      </c>
      <c r="V4" s="134" t="n">
        <v>254.3</v>
      </c>
    </row>
    <row r="5" customFormat="1" s="10">
      <c r="A5" s="41" t="inlineStr">
        <is>
          <t>Série</t>
        </is>
      </c>
      <c r="B5" s="149">
        <f>SUM(1.81)/D49</f>
        <v/>
      </c>
      <c r="C5" s="150">
        <f>SUM(40.48)</f>
        <v/>
      </c>
      <c r="D5" s="149">
        <f>SUM(2.26,(D74/C74/7.5))/D49</f>
        <v/>
      </c>
      <c r="E5" s="150">
        <f>SUM(95.09,D74)</f>
        <v/>
      </c>
      <c r="F5" s="149">
        <f>SUM(7.05,(F74/C74/7.5))/D49</f>
        <v/>
      </c>
      <c r="G5" s="150">
        <f>SUM(243.17,F74)</f>
        <v/>
      </c>
      <c r="H5" s="149">
        <f>SUM(5.22,(H74/C74/7.5))/D49</f>
        <v/>
      </c>
      <c r="I5" s="151">
        <f>SUM(275.98,H74)</f>
        <v/>
      </c>
      <c r="J5" s="152">
        <f>SUM(4.31,(J74/C74/7.5))/D49</f>
        <v/>
      </c>
      <c r="K5" s="153">
        <f>SUM(201.74,J74)</f>
        <v/>
      </c>
      <c r="L5" s="152">
        <f>SUM(11.6,(L74/C74/7.5))/D49</f>
        <v/>
      </c>
      <c r="M5" s="153">
        <f>SUM(246.06,L74)</f>
        <v/>
      </c>
      <c r="N5" s="152">
        <f>SUM(0.0,(N74/C74/7.5))/D49</f>
        <v/>
      </c>
      <c r="O5" s="153">
        <f>SUM(0.0,N74)</f>
        <v/>
      </c>
      <c r="P5" s="152">
        <f>SUM(0.0,(P74/C74/7.5))/D49</f>
        <v/>
      </c>
      <c r="Q5" s="153">
        <f>SUM(0.0,P74)</f>
        <v/>
      </c>
      <c r="R5" s="152">
        <f>SUM(0.0,(R74/C74/7.5))/D49</f>
        <v/>
      </c>
      <c r="S5" s="150">
        <f>SUM(0.0,R74)</f>
        <v/>
      </c>
      <c r="T5" s="154">
        <f>SUM(0.0,(T74/C74/7.5))/D49</f>
        <v/>
      </c>
      <c r="U5" s="151">
        <f>SUM(0.0,T74)</f>
        <v/>
      </c>
      <c r="V5" s="9" t="n">
        <v>254.3</v>
      </c>
    </row>
    <row r="6" customFormat="1" s="10">
      <c r="A6" s="41" t="inlineStr">
        <is>
          <t>Proto</t>
        </is>
      </c>
      <c r="B6" s="149">
        <f>SUM(4.05)/D49</f>
        <v/>
      </c>
      <c r="C6" s="155">
        <f>SUM(65.5)</f>
        <v/>
      </c>
      <c r="D6" s="149">
        <f>SUM(0.03,(D75/C75/7.5))/D49</f>
        <v/>
      </c>
      <c r="E6" s="150">
        <f>SUM(0.68,D75)</f>
        <v/>
      </c>
      <c r="F6" s="149">
        <f>SUM(0.05,(F75/C75/7.5))/D49</f>
        <v/>
      </c>
      <c r="G6" s="150">
        <f>SUM(1.42,F75)</f>
        <v/>
      </c>
      <c r="H6" s="149">
        <f>SUM(0.1,(H75/C75/7.5))/D49</f>
        <v/>
      </c>
      <c r="I6" s="151">
        <f>SUM(2.85,H75)</f>
        <v/>
      </c>
      <c r="J6" s="152">
        <f>SUM(0.58,(J75/C75/7.5))/D49</f>
        <v/>
      </c>
      <c r="K6" s="153">
        <f>SUM(14.7,J75)</f>
        <v/>
      </c>
      <c r="L6" s="152">
        <f>SUM(0.05,(L75/C75/7.5))/D49</f>
        <v/>
      </c>
      <c r="M6" s="153">
        <f>SUM(1.22,L75)</f>
        <v/>
      </c>
      <c r="N6" s="152">
        <f>SUM(0.0,(N75/C75/7.5))/D49</f>
        <v/>
      </c>
      <c r="O6" s="153">
        <f>SUM(0.0,N75)</f>
        <v/>
      </c>
      <c r="P6" s="152">
        <f>SUM(0.0,(P75/C75/7.5))/D49</f>
        <v/>
      </c>
      <c r="Q6" s="153">
        <f>SUM(0.0,P75)</f>
        <v/>
      </c>
      <c r="R6" s="152">
        <f>SUM(0.0,(R75/C75/7.5))/D49</f>
        <v/>
      </c>
      <c r="S6" s="150">
        <f>SUM(0.0,R75)</f>
        <v/>
      </c>
      <c r="T6" s="154">
        <f>SUM(0.0,(T75/C75/7.5))/D49</f>
        <v/>
      </c>
      <c r="U6" s="151">
        <f>SUM(0.0,T75)</f>
        <v/>
      </c>
      <c r="V6" s="9" t="n">
        <v>32.28</v>
      </c>
    </row>
    <row r="7">
      <c r="A7" s="55" t="inlineStr">
        <is>
          <t>LAS1</t>
        </is>
      </c>
      <c r="B7" s="56">
        <f>SUM(B8,B9)</f>
        <v/>
      </c>
      <c r="C7" s="57">
        <f>SUM(C8,C9)</f>
        <v/>
      </c>
      <c r="D7" s="58">
        <f>SUM(D8,D9)</f>
        <v/>
      </c>
      <c r="E7" s="57">
        <f>SUM(E8,E9)</f>
        <v/>
      </c>
      <c r="F7" s="58">
        <f>SUM(F8,F9)</f>
        <v/>
      </c>
      <c r="G7" s="57">
        <f>SUM(G8,G9)</f>
        <v/>
      </c>
      <c r="H7" s="58">
        <f>SUM(H8,H9)</f>
        <v/>
      </c>
      <c r="I7" s="59">
        <f>SUM(I8,I9)</f>
        <v/>
      </c>
      <c r="J7" s="60">
        <f>SUM(J8,J9)</f>
        <v/>
      </c>
      <c r="K7" s="57">
        <f>SUM(K8,K9)</f>
        <v/>
      </c>
      <c r="L7" s="58">
        <f>SUM(L8,L9)</f>
        <v/>
      </c>
      <c r="M7" s="61">
        <f>SUM(M8,M9)</f>
        <v/>
      </c>
      <c r="N7" s="60">
        <f>SUM(N8,N9)</f>
        <v/>
      </c>
      <c r="O7" s="61">
        <f>SUM(O8,O9)</f>
        <v/>
      </c>
      <c r="P7" s="60">
        <f>SUM(P8,P9)</f>
        <v/>
      </c>
      <c r="Q7" s="61">
        <f>SUM(Q8,Q9)</f>
        <v/>
      </c>
      <c r="R7" s="60">
        <f>SUM(R8,R9)</f>
        <v/>
      </c>
      <c r="S7" s="57">
        <f>SUM(S8,S9)</f>
        <v/>
      </c>
      <c r="T7" s="62">
        <f>SUM(T8,T9)</f>
        <v/>
      </c>
      <c r="U7" s="59">
        <f>SUM(U8,U9)</f>
        <v/>
      </c>
      <c r="V7" s="134" t="n">
        <v>32.28</v>
      </c>
    </row>
    <row r="8" customFormat="1" s="10">
      <c r="A8" s="41" t="inlineStr">
        <is>
          <t>Série</t>
        </is>
      </c>
      <c r="B8" s="149">
        <f>SUM(0.43)/D49</f>
        <v/>
      </c>
      <c r="C8" s="150">
        <f>SUM(1.37)</f>
        <v/>
      </c>
      <c r="D8" s="149">
        <f>SUM(0.43,(D77/C77/7.5))/D49</f>
        <v/>
      </c>
      <c r="E8" s="150">
        <f>SUM(1.36,D77)</f>
        <v/>
      </c>
      <c r="F8" s="149">
        <f>SUM(7.05,(F77/C77/7.5))/D49</f>
        <v/>
      </c>
      <c r="G8" s="150">
        <f>SUM(29.08,F77)</f>
        <v/>
      </c>
      <c r="H8" s="149">
        <f>SUM(0.0,(H77/C77/7.5))/D49</f>
        <v/>
      </c>
      <c r="I8" s="151">
        <f>SUM(0.0,H77)</f>
        <v/>
      </c>
      <c r="J8" s="152">
        <f>SUM(0.0,(J77/C77/7.5))/D49</f>
        <v/>
      </c>
      <c r="K8" s="153">
        <f>SUM(0.0,J77)</f>
        <v/>
      </c>
      <c r="L8" s="152">
        <f>SUM(2.62,(L77/C77/7.5))/D49</f>
        <v/>
      </c>
      <c r="M8" s="153">
        <f>SUM(7.29,L77)</f>
        <v/>
      </c>
      <c r="N8" s="152">
        <f>SUM(0.0,(N77/C77/7.5))/D49</f>
        <v/>
      </c>
      <c r="O8" s="153">
        <f>SUM(0.0,N77)</f>
        <v/>
      </c>
      <c r="P8" s="152">
        <f>SUM(0.0,(P77/C77/7.5))/D49</f>
        <v/>
      </c>
      <c r="Q8" s="153">
        <f>SUM(0.0,P77)</f>
        <v/>
      </c>
      <c r="R8" s="152">
        <f>SUM(0.0,(R77/C77/7.5))/D49</f>
        <v/>
      </c>
      <c r="S8" s="150">
        <f>SUM(0.0,R77)</f>
        <v/>
      </c>
      <c r="T8" s="154">
        <f>SUM(0.0,(T77/C77/7.5))/D49</f>
        <v/>
      </c>
      <c r="U8" s="151">
        <f>SUM(0.0,T77)</f>
        <v/>
      </c>
      <c r="V8" s="9" t="n">
        <v>0</v>
      </c>
    </row>
    <row r="9" customFormat="1" s="10">
      <c r="A9" s="41" t="inlineStr">
        <is>
          <t>Proto</t>
        </is>
      </c>
      <c r="B9" s="149">
        <f>SUM(21.66)/D49</f>
        <v/>
      </c>
      <c r="C9" s="150">
        <f>SUM(129.79)</f>
        <v/>
      </c>
      <c r="D9" s="149">
        <f>SUM(0.0,(D78/C78/7.5))/D49</f>
        <v/>
      </c>
      <c r="E9" s="150">
        <f>SUM(0.0,D78)</f>
        <v/>
      </c>
      <c r="F9" s="149">
        <f>SUM(0.0,(F78/C78/7.5))/D49</f>
        <v/>
      </c>
      <c r="G9" s="150">
        <f>SUM(0.0,F78)</f>
        <v/>
      </c>
      <c r="H9" s="149">
        <f>SUM(0.0,(H78/C78/7.5))/D49</f>
        <v/>
      </c>
      <c r="I9" s="151">
        <f>SUM(0.0,H78)</f>
        <v/>
      </c>
      <c r="J9" s="152">
        <f>SUM(0.0,(J78/C78/7.5))/D49</f>
        <v/>
      </c>
      <c r="K9" s="153">
        <f>SUM(0.0,J78)</f>
        <v/>
      </c>
      <c r="L9" s="152">
        <f>SUM(0.0,(L78/C78/7.5))/D49</f>
        <v/>
      </c>
      <c r="M9" s="153">
        <f>SUM(0.0,L78)</f>
        <v/>
      </c>
      <c r="N9" s="152">
        <f>SUM(0.0,(N78/C78/7.5))/D49</f>
        <v/>
      </c>
      <c r="O9" s="153">
        <f>SUM(0.0,N78)</f>
        <v/>
      </c>
      <c r="P9" s="152">
        <f>SUM(0.0,(P78/C78/7.5))/D49</f>
        <v/>
      </c>
      <c r="Q9" s="153">
        <f>SUM(0.0,P78)</f>
        <v/>
      </c>
      <c r="R9" s="152">
        <f>SUM(0.0,(R78/C78/7.5))/D49</f>
        <v/>
      </c>
      <c r="S9" s="150">
        <f>SUM(0.0,R78)</f>
        <v/>
      </c>
      <c r="T9" s="154">
        <f>SUM(0.0,(T78/C78/7.5))/D49</f>
        <v/>
      </c>
      <c r="U9" s="151">
        <f>SUM(0.0,T78)</f>
        <v/>
      </c>
      <c r="V9" s="9" t="n">
        <v>0</v>
      </c>
    </row>
    <row r="10">
      <c r="A10" s="55" t="inlineStr">
        <is>
          <t>P3</t>
        </is>
      </c>
      <c r="B10" s="56">
        <f>SUM(B11,B12)</f>
        <v/>
      </c>
      <c r="C10" s="57">
        <f>SUM(C11,C12)</f>
        <v/>
      </c>
      <c r="D10" s="58">
        <f>SUM(D11,D12)</f>
        <v/>
      </c>
      <c r="E10" s="57">
        <f>SUM(E11,E12)</f>
        <v/>
      </c>
      <c r="F10" s="58">
        <f>SUM(F11,F12)</f>
        <v/>
      </c>
      <c r="G10" s="57">
        <f>SUM(G11,G12)</f>
        <v/>
      </c>
      <c r="H10" s="58">
        <f>SUM(H11,H12)</f>
        <v/>
      </c>
      <c r="I10" s="57">
        <f>SUM(I11,I12)</f>
        <v/>
      </c>
      <c r="J10" s="58">
        <f>SUM(J11,J12)</f>
        <v/>
      </c>
      <c r="K10" s="57">
        <f>SUM(K11,K12)</f>
        <v/>
      </c>
      <c r="L10" s="58">
        <f>SUM(L11,L12)</f>
        <v/>
      </c>
      <c r="M10" s="61">
        <f>SUM(M11,M12)</f>
        <v/>
      </c>
      <c r="N10" s="60">
        <f>SUM(N11,N12)</f>
        <v/>
      </c>
      <c r="O10" s="61">
        <f>SUM(O11,O12)</f>
        <v/>
      </c>
      <c r="P10" s="60">
        <f>SUM(P11,P12)</f>
        <v/>
      </c>
      <c r="Q10" s="61">
        <f>SUM(Q11,Q12)</f>
        <v/>
      </c>
      <c r="R10" s="60">
        <f>SUM(R11,R12)</f>
        <v/>
      </c>
      <c r="S10" s="57">
        <f>SUM(S11,S12)</f>
        <v/>
      </c>
      <c r="T10" s="62">
        <f>SUM(T11,T12)</f>
        <v/>
      </c>
      <c r="U10" s="59">
        <f>SUM(U11,U12)</f>
        <v/>
      </c>
      <c r="V10" s="134" t="n">
        <v>0</v>
      </c>
    </row>
    <row r="11" customFormat="1" s="10">
      <c r="A11" s="41" t="inlineStr">
        <is>
          <t>Série</t>
        </is>
      </c>
      <c r="B11" s="149">
        <f>SUM(1.26)/D49</f>
        <v/>
      </c>
      <c r="C11" s="150">
        <f>SUM(9.45)</f>
        <v/>
      </c>
      <c r="D11" s="149">
        <f>SUM(7.26,(D80/C80/7.5))/D49</f>
        <v/>
      </c>
      <c r="E11" s="150">
        <f>SUM(98.18,D80)</f>
        <v/>
      </c>
      <c r="F11" s="149">
        <f>SUM(10.76,(F80/C80/7.5))/D49</f>
        <v/>
      </c>
      <c r="G11" s="150">
        <f>SUM(150.88,F80)</f>
        <v/>
      </c>
      <c r="H11" s="149">
        <f>SUM(6.67,(H80/C80/7.5))/D49</f>
        <v/>
      </c>
      <c r="I11" s="151">
        <f>SUM(87.61,H80)</f>
        <v/>
      </c>
      <c r="J11" s="152">
        <f>SUM(7.77,(J80/C80/7.5))/D49</f>
        <v/>
      </c>
      <c r="K11" s="153">
        <f>SUM(83.54,J80)</f>
        <v/>
      </c>
      <c r="L11" s="152">
        <f>SUM(8.18,(L80/C80/7.5))/D49</f>
        <v/>
      </c>
      <c r="M11" s="153">
        <f>SUM(96.01,L80)</f>
        <v/>
      </c>
      <c r="N11" s="152">
        <f>SUM(0.0,(N80/C80/7.5))/D49</f>
        <v/>
      </c>
      <c r="O11" s="153">
        <f>SUM(0.0,N80)</f>
        <v/>
      </c>
      <c r="P11" s="152">
        <f>SUM(0.0,(P80/C80/7.5))/D49</f>
        <v/>
      </c>
      <c r="Q11" s="153">
        <f>SUM(0.0,P80)</f>
        <v/>
      </c>
      <c r="R11" s="152">
        <f>SUM(0.0,(R80/C80/7.5))/D49</f>
        <v/>
      </c>
      <c r="S11" s="150">
        <f>SUM(0.0,R80)</f>
        <v/>
      </c>
      <c r="T11" s="154">
        <f>SUM(0.0,(T80/C80/7.5))/D49</f>
        <v/>
      </c>
      <c r="U11" s="151">
        <f>SUM(0.0,T80)</f>
        <v/>
      </c>
      <c r="V11" s="9" t="n">
        <v>30.27</v>
      </c>
    </row>
    <row r="12" customFormat="1" s="10">
      <c r="A12" s="41" t="inlineStr">
        <is>
          <t>Proto</t>
        </is>
      </c>
      <c r="B12" s="149">
        <f>SUM(1.05)/D49</f>
        <v/>
      </c>
      <c r="C12" s="150">
        <f>SUM(23.54)</f>
        <v/>
      </c>
      <c r="D12" s="149">
        <f>SUM(0.0,(D81/C81/7.5))/D49</f>
        <v/>
      </c>
      <c r="E12" s="150">
        <f>SUM(0.0,D81)</f>
        <v/>
      </c>
      <c r="F12" s="149">
        <f>SUM(1.13,(F81/C81/7.5))/D49</f>
        <v/>
      </c>
      <c r="G12" s="150">
        <f>SUM(26.0,F81)</f>
        <v/>
      </c>
      <c r="H12" s="149">
        <f>SUM(0.0,(H81/C81/7.5))/D49</f>
        <v/>
      </c>
      <c r="I12" s="151">
        <f>SUM(0.0,H81)</f>
        <v/>
      </c>
      <c r="J12" s="152">
        <f>SUM(0.0,(J81/C81/7.5))/D49</f>
        <v/>
      </c>
      <c r="K12" s="153">
        <f>SUM(0.0,J81)</f>
        <v/>
      </c>
      <c r="L12" s="152">
        <f>SUM(0.0,(L81/C81/7.5))/D49</f>
        <v/>
      </c>
      <c r="M12" s="153">
        <f>SUM(0.0,L81)</f>
        <v/>
      </c>
      <c r="N12" s="152">
        <f>SUM(0.0,(N81/C81/7.5))/D49</f>
        <v/>
      </c>
      <c r="O12" s="153">
        <f>SUM(0.0,N81)</f>
        <v/>
      </c>
      <c r="P12" s="152">
        <f>SUM(0.0,(P81/C81/7.5))/D49</f>
        <v/>
      </c>
      <c r="Q12" s="153">
        <f>SUM(0.0,P81)</f>
        <v/>
      </c>
      <c r="R12" s="152">
        <f>SUM(0.0,(R81/C81/7.5))/D49</f>
        <v/>
      </c>
      <c r="S12" s="150">
        <f>SUM(0.0,R81)</f>
        <v/>
      </c>
      <c r="T12" s="154">
        <f>SUM(0.0,(T81/C81/7.5))/D49</f>
        <v/>
      </c>
      <c r="U12" s="151">
        <f>SUM(0.0,T81)</f>
        <v/>
      </c>
      <c r="V12" s="9" t="n">
        <v>0</v>
      </c>
    </row>
    <row r="13">
      <c r="A13" s="55" t="inlineStr">
        <is>
          <t>R1</t>
        </is>
      </c>
      <c r="B13" s="56">
        <f>SUM(B14,B15)</f>
        <v/>
      </c>
      <c r="C13" s="57">
        <f>SUM(C14,C15)</f>
        <v/>
      </c>
      <c r="D13" s="58">
        <f>SUM(D14,D15)</f>
        <v/>
      </c>
      <c r="E13" s="57">
        <f>SUM(E14,E15)</f>
        <v/>
      </c>
      <c r="F13" s="58">
        <f>SUM(F14,F15)</f>
        <v/>
      </c>
      <c r="G13" s="57">
        <f>SUM(G14,G15)</f>
        <v/>
      </c>
      <c r="H13" s="58">
        <f>SUM(H14,H15)</f>
        <v/>
      </c>
      <c r="I13" s="59">
        <f>SUM(I14,I15)</f>
        <v/>
      </c>
      <c r="J13" s="60">
        <f>SUM(J14,J15)</f>
        <v/>
      </c>
      <c r="K13" s="57">
        <f>SUM(K14,K15)</f>
        <v/>
      </c>
      <c r="L13" s="58">
        <f>SUM(L14,L15)</f>
        <v/>
      </c>
      <c r="M13" s="61">
        <f>SUM(M14,M15)</f>
        <v/>
      </c>
      <c r="N13" s="60">
        <f>SUM(N14,N15)</f>
        <v/>
      </c>
      <c r="O13" s="61">
        <f>SUM(O14,O15)</f>
        <v/>
      </c>
      <c r="P13" s="60">
        <f>SUM(P14,P15)</f>
        <v/>
      </c>
      <c r="Q13" s="61">
        <f>SUM(Q14,Q15)</f>
        <v/>
      </c>
      <c r="R13" s="60">
        <f>SUM(R14,R15)</f>
        <v/>
      </c>
      <c r="S13" s="57">
        <f>SUM(S14,S15)</f>
        <v/>
      </c>
      <c r="T13" s="62">
        <f>SUM(T14,T15)</f>
        <v/>
      </c>
      <c r="U13" s="59">
        <f>SUM(U14,U15)</f>
        <v/>
      </c>
      <c r="V13" s="134" t="n">
        <v>0</v>
      </c>
    </row>
    <row r="14" customFormat="1" s="10">
      <c r="A14" s="41" t="inlineStr">
        <is>
          <t>Série</t>
        </is>
      </c>
      <c r="B14" s="149">
        <f>SUM(3.91)/D49</f>
        <v/>
      </c>
      <c r="C14" s="150">
        <f>SUM(334.09)</f>
        <v/>
      </c>
      <c r="D14" s="149">
        <f>SUM(2.87,(D83/C83/7.5))/D49</f>
        <v/>
      </c>
      <c r="E14" s="150">
        <f>SUM(342.48,D83)</f>
        <v/>
      </c>
      <c r="F14" s="149">
        <f>SUM(4.58,(F83/C83/7.5))/D49</f>
        <v/>
      </c>
      <c r="G14" s="150">
        <f>SUM(601.8,F83)</f>
        <v/>
      </c>
      <c r="H14" s="149">
        <f>SUM(3.86,(H83/C83/7.5))/D49</f>
        <v/>
      </c>
      <c r="I14" s="151">
        <f>SUM(520.38,H83)</f>
        <v/>
      </c>
      <c r="J14" s="152">
        <f>SUM(3.28,(J83/C83/7.5))/D49</f>
        <v/>
      </c>
      <c r="K14" s="153">
        <f>SUM(457.26,J83)</f>
        <v/>
      </c>
      <c r="L14" s="152">
        <f>SUM(6.51,(L83/C83/7.5))/D49</f>
        <v/>
      </c>
      <c r="M14" s="153">
        <f>SUM(807.92,L83)</f>
        <v/>
      </c>
      <c r="N14" s="152">
        <f>SUM(0.0,(N83/C83/7.5))/D49</f>
        <v/>
      </c>
      <c r="O14" s="153">
        <f>SUM(0.0,N83)</f>
        <v/>
      </c>
      <c r="P14" s="152">
        <f>SUM(0.0,(P83/C83/7.5))/D49</f>
        <v/>
      </c>
      <c r="Q14" s="153">
        <f>SUM(0.0,P83)</f>
        <v/>
      </c>
      <c r="R14" s="152">
        <f>SUM(0.0,(R83/C83/7.5))/D49</f>
        <v/>
      </c>
      <c r="S14" s="150">
        <f>SUM(0.0,R83)</f>
        <v/>
      </c>
      <c r="T14" s="154">
        <f>SUM(0.0,(T83/C83/7.5))/D49</f>
        <v/>
      </c>
      <c r="U14" s="151">
        <f>SUM(0.0,T83)</f>
        <v/>
      </c>
      <c r="V14" s="9" t="n">
        <v>400.28</v>
      </c>
    </row>
    <row r="15" customFormat="1" s="10">
      <c r="A15" s="41" t="inlineStr">
        <is>
          <t>Proto</t>
        </is>
      </c>
      <c r="B15" s="149">
        <f>SUM(8.83)/D49</f>
        <v/>
      </c>
      <c r="C15" s="150">
        <f>SUM(224.76)</f>
        <v/>
      </c>
      <c r="D15" s="149">
        <f>SUM(0.64,(D84/C84/7.5))/D49</f>
        <v/>
      </c>
      <c r="E15" s="150">
        <f>SUM(15.76,D84)</f>
        <v/>
      </c>
      <c r="F15" s="149">
        <f>SUM(0.15,(F84/C84/7.5))/D49</f>
        <v/>
      </c>
      <c r="G15" s="150">
        <f>SUM(6.6,F84)</f>
        <v/>
      </c>
      <c r="H15" s="149">
        <f>SUM(0.66,(H84/C84/7.5))/D49</f>
        <v/>
      </c>
      <c r="I15" s="151">
        <f>SUM(16.5,H84)</f>
        <v/>
      </c>
      <c r="J15" s="152">
        <f>SUM(0.88,(J84/C84/7.5))/D49</f>
        <v/>
      </c>
      <c r="K15" s="153">
        <f>SUM(23.5,J84)</f>
        <v/>
      </c>
      <c r="L15" s="152">
        <f>SUM(0.52,(L84/C84/7.5))/D49</f>
        <v/>
      </c>
      <c r="M15" s="153">
        <f>SUM(13.0,L84)</f>
        <v/>
      </c>
      <c r="N15" s="152">
        <f>SUM(0.0,(N84/C84/7.5))/D49</f>
        <v/>
      </c>
      <c r="O15" s="153">
        <f>SUM(0.0,N84)</f>
        <v/>
      </c>
      <c r="P15" s="152">
        <f>SUM(0.0,(P84/C84/7.5))/D49</f>
        <v/>
      </c>
      <c r="Q15" s="153">
        <f>SUM(0.0,P84)</f>
        <v/>
      </c>
      <c r="R15" s="152">
        <f>SUM(0.0,(R84/C84/7.5))/D49</f>
        <v/>
      </c>
      <c r="S15" s="150">
        <f>SUM(0.0,R84)</f>
        <v/>
      </c>
      <c r="T15" s="154">
        <f>SUM(0.0,(T84/C84/7.5))/D49</f>
        <v/>
      </c>
      <c r="U15" s="151">
        <f>SUM(0.0,T84)</f>
        <v/>
      </c>
      <c r="V15" s="9" t="n">
        <v>10</v>
      </c>
    </row>
    <row r="16">
      <c r="A16" s="55" t="inlineStr">
        <is>
          <t>R6</t>
        </is>
      </c>
      <c r="B16" s="56">
        <f>SUM(B17,B18)</f>
        <v/>
      </c>
      <c r="C16" s="57">
        <f>SUM(C17,C18)</f>
        <v/>
      </c>
      <c r="D16" s="58">
        <f>SUM(D17,D18)</f>
        <v/>
      </c>
      <c r="E16" s="57">
        <f>SUM(E17,E18)</f>
        <v/>
      </c>
      <c r="F16" s="58">
        <f>SUM(F17,F18)</f>
        <v/>
      </c>
      <c r="G16" s="57">
        <f>SUM(G17,G18)</f>
        <v/>
      </c>
      <c r="H16" s="58">
        <f>SUM(H17,H18)</f>
        <v/>
      </c>
      <c r="I16" s="59">
        <f>SUM(I17,I18)</f>
        <v/>
      </c>
      <c r="J16" s="60">
        <f>SUM(J17,J18)</f>
        <v/>
      </c>
      <c r="K16" s="57">
        <f>SUM(K17,K18)</f>
        <v/>
      </c>
      <c r="L16" s="58">
        <f>SUM(L17,L18)</f>
        <v/>
      </c>
      <c r="M16" s="61">
        <f>SUM(M17,M18)</f>
        <v/>
      </c>
      <c r="N16" s="60">
        <f>SUM(N17,N18)</f>
        <v/>
      </c>
      <c r="O16" s="61">
        <f>SUM(O17,O18)</f>
        <v/>
      </c>
      <c r="P16" s="60">
        <f>SUM(P17,P18)</f>
        <v/>
      </c>
      <c r="Q16" s="61">
        <f>SUM(Q17,Q18)</f>
        <v/>
      </c>
      <c r="R16" s="60">
        <f>SUM(R17,R18)</f>
        <v/>
      </c>
      <c r="S16" s="57">
        <f>SUM(S17,S18)</f>
        <v/>
      </c>
      <c r="T16" s="62">
        <f>SUM(T17,T18)</f>
        <v/>
      </c>
      <c r="U16" s="59">
        <f>SUM(U17,U18)</f>
        <v/>
      </c>
      <c r="V16" s="134" t="n">
        <v>10</v>
      </c>
    </row>
    <row r="17" customFormat="1" s="10">
      <c r="A17" s="41" t="inlineStr">
        <is>
          <t>Série</t>
        </is>
      </c>
      <c r="B17" s="154">
        <f>SUM(1.35)/D49</f>
        <v/>
      </c>
      <c r="C17" s="150">
        <f>SUM(200.5)</f>
        <v/>
      </c>
      <c r="D17" s="154">
        <f>SUM(3.02,(D86/C86/7.5))/D49</f>
        <v/>
      </c>
      <c r="E17" s="150">
        <f>SUM(493.15,D86)</f>
        <v/>
      </c>
      <c r="F17" s="154">
        <f>SUM(2.97,(F86/C86/7.5))/D49</f>
        <v/>
      </c>
      <c r="G17" s="150">
        <f>SUM(469.47,F86)</f>
        <v/>
      </c>
      <c r="H17" s="154">
        <f>SUM(2.48,(H86/C86/7.5))/D49</f>
        <v/>
      </c>
      <c r="I17" s="151">
        <f>SUM(342.29,H86)</f>
        <v/>
      </c>
      <c r="J17" s="152">
        <f>SUM(2.03,(J86/C86/7.5))/D49</f>
        <v/>
      </c>
      <c r="K17" s="151">
        <f>SUM(291.33,J86)</f>
        <v/>
      </c>
      <c r="L17" s="149">
        <f>SUM(2.38,(L86/C86/7.5))/D49</f>
        <v/>
      </c>
      <c r="M17" s="151">
        <f>SUM(393.74,L86)</f>
        <v/>
      </c>
      <c r="N17" s="149">
        <f>SUM(0.0,(N86/C86/7.5))/D49</f>
        <v/>
      </c>
      <c r="O17" s="151">
        <f>SUM(0.0,N86)</f>
        <v/>
      </c>
      <c r="P17" s="149">
        <f>SUM(0.0,(P86/C86/7.5))/D49</f>
        <v/>
      </c>
      <c r="Q17" s="151">
        <f>SUM(0.0,P86)</f>
        <v/>
      </c>
      <c r="R17" s="149">
        <f>SUM(0.0,(R86/C86/7.5))/D49</f>
        <v/>
      </c>
      <c r="S17" s="150">
        <f>SUM(0.0,R86)</f>
        <v/>
      </c>
      <c r="T17" s="154">
        <f>SUM(0.0,(T86/C86/7.5))/D49</f>
        <v/>
      </c>
      <c r="U17" s="151">
        <f>SUM(0.0,T86)</f>
        <v/>
      </c>
      <c r="V17" s="9" t="n">
        <v>335.57</v>
      </c>
    </row>
    <row r="18" ht="15" customFormat="1" customHeight="1" s="10" thickBot="1">
      <c r="A18" s="41" t="inlineStr">
        <is>
          <t>Proto</t>
        </is>
      </c>
      <c r="B18" s="156">
        <f>SUM(0.0)/D49</f>
        <v/>
      </c>
      <c r="C18" s="152">
        <f>SUM(0.0)</f>
        <v/>
      </c>
      <c r="D18" s="156">
        <f>SUM(0.0,(D87/C87/7.5))/D49</f>
        <v/>
      </c>
      <c r="E18" s="152">
        <f>SUM(0.0,D87)</f>
        <v/>
      </c>
      <c r="F18" s="156">
        <f>SUM(0.0,(F87/C87/7.5))/D49</f>
        <v/>
      </c>
      <c r="G18" s="152">
        <f>SUM(0.0,F87)</f>
        <v/>
      </c>
      <c r="H18" s="156">
        <f>SUM(2.0,(H87/C87/7.5))/D49</f>
        <v/>
      </c>
      <c r="I18" s="152">
        <f>SUM(53.78,H87)</f>
        <v/>
      </c>
      <c r="J18" s="156">
        <f>SUM(0.26,(J87/C87/7.5))/D49</f>
        <v/>
      </c>
      <c r="K18" s="152">
        <f>SUM(6.5,J87)</f>
        <v/>
      </c>
      <c r="L18" s="156">
        <f>SUM(0.0,(L87/C87/7.5))/D49</f>
        <v/>
      </c>
      <c r="M18" s="152">
        <f>SUM(0.0,L87)</f>
        <v/>
      </c>
      <c r="N18" s="156">
        <f>SUM(0.0,(N87/C87/7.5))/D49</f>
        <v/>
      </c>
      <c r="O18" s="152">
        <f>SUM(0.0,N87)</f>
        <v/>
      </c>
      <c r="P18" s="156">
        <f>SUM(0.0,(P87/C87/7.5))/D49</f>
        <v/>
      </c>
      <c r="Q18" s="152">
        <f>SUM(0.0,P87)</f>
        <v/>
      </c>
      <c r="R18" s="156">
        <f>SUM(0.0,(R87/C87/7.5))/D49</f>
        <v/>
      </c>
      <c r="S18" s="152">
        <f>SUM(0.0,R87)</f>
        <v/>
      </c>
      <c r="T18" s="156">
        <f>SUM(0.0,(T87/C87/7.5))/D49</f>
        <v/>
      </c>
      <c r="U18" s="157">
        <f>SUM(0.0,T87)</f>
        <v/>
      </c>
      <c r="V18" s="9" t="n">
        <v>0</v>
      </c>
    </row>
    <row r="19" ht="15" customFormat="1" customHeight="1" s="6" thickBot="1">
      <c r="A19" s="16" t="inlineStr">
        <is>
          <t>Total</t>
        </is>
      </c>
      <c r="B19" s="7">
        <f>SUM(B4,B7,B10,B13,B16)</f>
        <v/>
      </c>
      <c r="C19" s="14">
        <f>SUM(C4,C7,C10,C13,C16)</f>
        <v/>
      </c>
      <c r="D19" s="7">
        <f>SUM(D4,D7,D10,D13,D16)</f>
        <v/>
      </c>
      <c r="E19" s="14">
        <f>SUM(E4,E7,E10,E13,E16)</f>
        <v/>
      </c>
      <c r="F19" s="7">
        <f>SUM(F4,F7,F10,F13,F16)</f>
        <v/>
      </c>
      <c r="G19" s="14">
        <f>SUM(G4,G7,G10,G13,G16)</f>
        <v/>
      </c>
      <c r="H19" s="7">
        <f>SUM(H4,H7,H10,H13,H16)</f>
        <v/>
      </c>
      <c r="I19" s="8">
        <f>SUM(I4,I7,I10,I13,I16)</f>
        <v/>
      </c>
      <c r="J19" s="14">
        <f>SUM(J4,J7,J10,J13,J16)</f>
        <v/>
      </c>
      <c r="K19" s="8">
        <f>SUM(K4,K7,K10,K13,K16)</f>
        <v/>
      </c>
      <c r="L19" s="7">
        <f>SUM(L4,L7,L10,L13,L16)</f>
        <v/>
      </c>
      <c r="M19" s="8">
        <f>SUM(M4,M7,M10,M13,M16)</f>
        <v/>
      </c>
      <c r="N19" s="7">
        <f>SUM(N4,N7,N10,N13,N16)</f>
        <v/>
      </c>
      <c r="O19" s="8">
        <f>SUM(O4,O7,O10,O13,O16)</f>
        <v/>
      </c>
      <c r="P19" s="7">
        <f>SUM(P4,P7,P10,P13,P16)</f>
        <v/>
      </c>
      <c r="Q19" s="8">
        <f>SUM(Q4,Q7,Q10,Q13,Q16)</f>
        <v/>
      </c>
      <c r="R19" s="7">
        <f>SUM(R4,R7,R10,R13,R16)</f>
        <v/>
      </c>
      <c r="S19" s="14">
        <f>SUM(S4,S7,S10,S13,S16)</f>
        <v/>
      </c>
      <c r="T19" s="7">
        <f>SUM(T4,T7,T10,T13,T16)</f>
        <v/>
      </c>
      <c r="U19" s="8">
        <f>SUM(U4,U7,U10,U13,U16)</f>
        <v/>
      </c>
      <c r="V19" t="n">
        <v>0</v>
      </c>
      <c r="W19" s="134" t="n"/>
      <c r="X19" s="134" t="n"/>
      <c r="Y19" s="134" t="n"/>
      <c r="Z19" s="134" t="n"/>
      <c r="AA19" s="134" t="n"/>
      <c r="AB19" s="134" t="n"/>
      <c r="AC19" s="134" t="n"/>
      <c r="AD19" s="134" t="n"/>
      <c r="AE19" s="134" t="n"/>
      <c r="AF19" s="134" t="n"/>
      <c r="AG19" s="134" t="n"/>
      <c r="AH19" s="134" t="n"/>
      <c r="AI19" s="134" t="n"/>
      <c r="AJ19" s="134" t="n"/>
      <c r="AK19" s="134" t="n"/>
      <c r="AL19" s="134" t="n"/>
      <c r="AM19" s="134" t="n"/>
      <c r="AN19" s="134" t="n"/>
      <c r="AO19" s="134" t="n"/>
      <c r="AP19" s="134" t="n"/>
      <c r="AQ19" s="134" t="n"/>
      <c r="AR19" s="134" t="n"/>
      <c r="AS19" s="134" t="n"/>
      <c r="AT19" s="134" t="n"/>
      <c r="AU19" s="134" t="n"/>
      <c r="AV19" s="134" t="n"/>
      <c r="AW19" s="134" t="n"/>
      <c r="AX19" s="134" t="n"/>
      <c r="AY19" s="134" t="n"/>
      <c r="AZ19" s="134" t="n"/>
      <c r="BA19" s="134" t="n"/>
      <c r="BB19" s="134" t="n"/>
      <c r="BC19" s="134" t="n"/>
      <c r="BD19" s="134" t="n"/>
      <c r="BE19" s="134" t="n"/>
      <c r="BF19" s="134" t="n"/>
      <c r="BG19" s="134" t="n"/>
      <c r="BH19" s="134" t="n"/>
      <c r="BI19" s="134" t="n"/>
      <c r="BJ19" s="134" t="n"/>
      <c r="BK19" s="134" t="n"/>
      <c r="BL19" s="134" t="n"/>
      <c r="BM19" s="134" t="n"/>
      <c r="BN19" s="134" t="n"/>
      <c r="BO19" s="134" t="n"/>
      <c r="BP19" s="134" t="n"/>
      <c r="BQ19" s="134" t="n"/>
      <c r="BR19" s="134" t="n"/>
      <c r="BS19" s="134" t="n"/>
      <c r="BT19" s="134" t="n"/>
      <c r="BU19" s="134" t="n"/>
      <c r="BV19" s="134" t="n"/>
      <c r="BW19" s="134" t="n"/>
      <c r="BX19" s="134" t="n"/>
      <c r="BY19" s="134" t="n"/>
      <c r="BZ19" s="134" t="n"/>
      <c r="CA19" s="134" t="n"/>
      <c r="CB19" s="134" t="n"/>
      <c r="CC19" s="134" t="n"/>
      <c r="CD19" s="134" t="n"/>
      <c r="CE19" s="134" t="n"/>
      <c r="CF19" s="134" t="n"/>
      <c r="CG19" s="134" t="n"/>
      <c r="CH19" s="134" t="n"/>
      <c r="CI19" s="134" t="n"/>
      <c r="CJ19" s="134" t="n"/>
      <c r="CK19" s="134" t="n"/>
      <c r="CL19" s="134" t="n"/>
      <c r="CM19" s="134" t="n"/>
      <c r="CN19" s="134" t="n"/>
      <c r="CO19" s="134" t="n"/>
      <c r="CP19" s="134" t="n"/>
      <c r="CQ19" s="134" t="n"/>
      <c r="CR19" s="134" t="n"/>
      <c r="CS19" s="134" t="n"/>
      <c r="CT19" s="134" t="n"/>
    </row>
    <row r="20" ht="15" customHeight="1" thickBot="1"/>
    <row r="21" ht="15" customHeight="1" thickBot="1">
      <c r="C21" s="69" t="inlineStr">
        <is>
          <t>Gestion des postes</t>
        </is>
      </c>
      <c r="D21" s="158" t="inlineStr">
        <is>
          <t>W15 Avance / Retard</t>
        </is>
      </c>
      <c r="E21" s="137" t="n"/>
      <c r="F21" s="158" t="inlineStr">
        <is>
          <t>W16 Avance / Retard</t>
        </is>
      </c>
      <c r="G21" s="137" t="n"/>
      <c r="H21" s="158" t="inlineStr">
        <is>
          <t>W17 Avance / Retard</t>
        </is>
      </c>
      <c r="I21" s="137" t="n"/>
      <c r="J21" s="158" t="inlineStr">
        <is>
          <t>W18 Avance / Retard</t>
        </is>
      </c>
      <c r="K21" s="137" t="n"/>
      <c r="L21" s="158" t="inlineStr">
        <is>
          <t>W19 Avance / Retard</t>
        </is>
      </c>
      <c r="M21" s="137" t="n"/>
      <c r="N21" s="158" t="inlineStr">
        <is>
          <t>W20 Avance / Retard</t>
        </is>
      </c>
      <c r="O21" s="137" t="n"/>
      <c r="P21" s="158" t="inlineStr">
        <is>
          <t>W21 Avance / Retard</t>
        </is>
      </c>
      <c r="Q21" s="137" t="n"/>
      <c r="R21" s="158" t="inlineStr">
        <is>
          <t>W22 Avance / Retard</t>
        </is>
      </c>
      <c r="S21" s="137" t="n"/>
      <c r="T21" s="158" t="inlineStr">
        <is>
          <t>W23 Avance / Retard</t>
        </is>
      </c>
      <c r="U21" s="137" t="n"/>
    </row>
    <row r="22" ht="15" customHeight="1" thickBot="1">
      <c r="D22" s="117" t="inlineStr">
        <is>
          <t>Postes</t>
        </is>
      </c>
      <c r="E22" s="117" t="inlineStr">
        <is>
          <t>Tonnes</t>
        </is>
      </c>
      <c r="F22" s="117" t="inlineStr">
        <is>
          <t>Postes</t>
        </is>
      </c>
      <c r="G22" s="117" t="inlineStr">
        <is>
          <t>Tonnes</t>
        </is>
      </c>
      <c r="H22" s="117" t="inlineStr">
        <is>
          <t>Postes</t>
        </is>
      </c>
      <c r="I22" s="117" t="inlineStr">
        <is>
          <t>Tonnes</t>
        </is>
      </c>
      <c r="J22" s="117" t="inlineStr">
        <is>
          <t>Postes</t>
        </is>
      </c>
      <c r="K22" s="117" t="inlineStr">
        <is>
          <t>Tonnes</t>
        </is>
      </c>
      <c r="L22" s="117" t="inlineStr">
        <is>
          <t>Postes</t>
        </is>
      </c>
      <c r="M22" s="117" t="inlineStr">
        <is>
          <t>Tonnes</t>
        </is>
      </c>
      <c r="N22" s="117" t="inlineStr">
        <is>
          <t>Postes</t>
        </is>
      </c>
      <c r="O22" s="117" t="inlineStr">
        <is>
          <t>Tonnes</t>
        </is>
      </c>
      <c r="P22" s="117" t="inlineStr">
        <is>
          <t>Postes</t>
        </is>
      </c>
      <c r="Q22" s="117" t="inlineStr">
        <is>
          <t>Tonnes</t>
        </is>
      </c>
      <c r="R22" s="117" t="inlineStr">
        <is>
          <t>Postes</t>
        </is>
      </c>
      <c r="S22" s="117" t="inlineStr">
        <is>
          <t>Tonnes</t>
        </is>
      </c>
      <c r="T22" s="117" t="inlineStr">
        <is>
          <t>Postes</t>
        </is>
      </c>
      <c r="U22" s="117" t="inlineStr">
        <is>
          <t>Tonnes</t>
        </is>
      </c>
    </row>
    <row r="23">
      <c r="A23" s="42" t="inlineStr">
        <is>
          <t>L1</t>
        </is>
      </c>
      <c r="C23" s="42" t="inlineStr">
        <is>
          <t>L1</t>
        </is>
      </c>
      <c r="D23" s="22">
        <f>E39-D4</f>
        <v/>
      </c>
      <c r="E23" s="22">
        <f>IF(E39&lt;D4,
D23*(E4/D4),
IF(E39&lt;D4+$B$4,D23*($C$4/$B$4),$C$4))</f>
        <v/>
      </c>
      <c r="F23" s="22">
        <f>G39-F4</f>
        <v/>
      </c>
      <c r="G23" s="22">
        <f>IF(G39&lt;F4,
F23*(G4/F4),
IF(G39&lt;F4+$B$4,F23*($C$4/$B$4),$C$4))</f>
        <v/>
      </c>
      <c r="H23" s="22">
        <f>I39-H4</f>
        <v/>
      </c>
      <c r="I23" s="22">
        <f>IF(I39&lt;H4,
H23*(I4/H4),
IF(I39&lt;H4+$B$4,H23*($C$4/$B$4),$C$4))</f>
        <v/>
      </c>
      <c r="J23" s="22">
        <f>K39-J4</f>
        <v/>
      </c>
      <c r="K23" s="22">
        <f>IF(K39&lt;J4,
J23*(K4/J4),
IF(K39&lt;J4+$B$4,J23*($C$4/$B$4),$C$4))</f>
        <v/>
      </c>
      <c r="L23" s="22">
        <f>M39-L4</f>
        <v/>
      </c>
      <c r="M23" s="22">
        <f>IF(M39&lt;L4,
L23*(M4/L4),
IF(M39&lt;L4+$B$4,L23*($C$4/$B$4),$C$4))</f>
        <v/>
      </c>
      <c r="N23" s="22">
        <f>O39-N4</f>
        <v/>
      </c>
      <c r="O23" s="22">
        <f>IF(O39&lt;N4,
N23*(O4/N4),
IF(O39&lt;N4+$B$4,N23*($C$4/$B$4),$C$4))</f>
        <v/>
      </c>
      <c r="P23" s="22">
        <f>Q39-P4</f>
        <v/>
      </c>
      <c r="Q23" s="22">
        <f>IF(Q39&lt;P4,
P23*(Q4/P4),
IF(Q39&lt;P4+$B$4,P23*($C$4/$B$4),$C$4))</f>
        <v/>
      </c>
      <c r="R23" s="22">
        <f>S39-R4</f>
        <v/>
      </c>
      <c r="S23" s="22">
        <f>IF(S39&lt;R4,
R23*(S4/R4),
IF(S39&lt;R4+$B$4,R23*($C$4/$B$4),$C$4))</f>
        <v/>
      </c>
      <c r="T23" s="22">
        <f>U39-T4</f>
        <v/>
      </c>
      <c r="U23" s="22">
        <f>IF(U39&lt;T4,
T23*(U4/T4),
IF(U39&lt;T4+$B$4,T23*($C$4/$B$4),$C$4))</f>
        <v/>
      </c>
    </row>
    <row r="24">
      <c r="A24" s="39" t="inlineStr">
        <is>
          <t>LAS1,</t>
        </is>
      </c>
      <c r="C24" s="39" t="inlineStr">
        <is>
          <t>LAS1,</t>
        </is>
      </c>
      <c r="D24" s="22">
        <f>E40-D7</f>
        <v/>
      </c>
      <c r="E24" s="22">
        <f>IF(E40&lt;D7,
D24*(E7/D7),
IF(E40&lt;D7+$B$7,D24*($C$7/$B$7),$C$7))</f>
        <v/>
      </c>
      <c r="F24" s="22">
        <f>G40-F7</f>
        <v/>
      </c>
      <c r="G24" s="22">
        <f>IF(G40&lt;F7,
F24*(G7/F7),
IF(G40&lt;F7+$B$7,F24*($C$7/$B$7),$C$7))</f>
        <v/>
      </c>
      <c r="H24" s="22">
        <f>I40-H7</f>
        <v/>
      </c>
      <c r="I24" s="22">
        <f>IF(I40&lt;H7,
H24*(I7/H7),
IF(I40&lt;H7+$B$7,H24*($C$7/$B$7),$C$7))</f>
        <v/>
      </c>
      <c r="J24" s="22">
        <f>K40-J7</f>
        <v/>
      </c>
      <c r="K24" s="22">
        <f>IF(K40&lt;J7,
J24*(K7/J7),
IF(K40&lt;J7+$B$7,J24*($C$7/$B$7),$C$7))</f>
        <v/>
      </c>
      <c r="L24" s="22">
        <f>M40-L7</f>
        <v/>
      </c>
      <c r="M24" s="22">
        <f>IF(M40&lt;L7,
L24*(M7/L7),
IF(M40&lt;L7+$B$7,L24*($C$7/$B$7),$C$7))</f>
        <v/>
      </c>
      <c r="N24" s="22">
        <f>O40-N7</f>
        <v/>
      </c>
      <c r="O24" s="22">
        <f>IF(O40&lt;N7,
N24*(O7/N7),
IF(O40&lt;N7+$B$7,N24*($C$7/$B$7),$C$7))</f>
        <v/>
      </c>
      <c r="P24" s="22">
        <f>Q40-P7</f>
        <v/>
      </c>
      <c r="Q24" s="22">
        <f>IF(Q40&lt;P7,
P24*(Q7/P7),
IF(Q40&lt;P7+$B$7,P24*($C$7/$B$7),$C$7))</f>
        <v/>
      </c>
      <c r="R24" s="22">
        <f>S40-R7</f>
        <v/>
      </c>
      <c r="S24" s="22">
        <f>IF(S40&lt;R7,
R24*(S7/R7),
IF(S40&lt;R7+$B$7,R24*($C$7/$B$7),$C$7))</f>
        <v/>
      </c>
      <c r="T24" s="22">
        <f>U40-T7</f>
        <v/>
      </c>
      <c r="U24" s="22">
        <f>IF(U40&lt;T7,
T24*(U7/T7),
IF(U40&lt;T7+$B$7,T24*($C$7/$B$7),$C$7))</f>
        <v/>
      </c>
    </row>
    <row r="25">
      <c r="A25" s="39" t="inlineStr">
        <is>
          <t>P3</t>
        </is>
      </c>
      <c r="C25" s="39" t="inlineStr">
        <is>
          <t>P3</t>
        </is>
      </c>
      <c r="D25" s="22">
        <f>E41-D10</f>
        <v/>
      </c>
      <c r="E25" s="22">
        <f>IF(E41&lt;D10,
D25*(E10/D10),
IF(E41&lt;D10+$B$10,D25*($C$10/$B$10),$C$10))</f>
        <v/>
      </c>
      <c r="F25" s="22">
        <f>G41-F10</f>
        <v/>
      </c>
      <c r="G25" s="22">
        <f>IF(G41&lt;F10,
F25*(G10/F10),
IF(G41&lt;F10+$B$10,F25*($C$10/$B$10),$C$10))</f>
        <v/>
      </c>
      <c r="H25" s="22">
        <f>I41-H10</f>
        <v/>
      </c>
      <c r="I25" s="22">
        <f>IF(I41&lt;H10,
H25*(I10/H10),
IF(I41&lt;H10+$B$10,H25*($C$10/$B$10),$C$10))</f>
        <v/>
      </c>
      <c r="J25" s="22">
        <f>K41-J10</f>
        <v/>
      </c>
      <c r="K25" s="22">
        <f>IF(K41&lt;J10,
J25*(K10/J10),
IF(K41&lt;J10+$B$10,J25*($C$10/$B$10),$C$10))</f>
        <v/>
      </c>
      <c r="L25" s="22">
        <f>M41-L10</f>
        <v/>
      </c>
      <c r="M25" s="22">
        <f>IF(M41&lt;L10,
L25*(M10/L10),
IF(M41&lt;L10+$B$10,L25*($C$10/$B$10),$C$10))</f>
        <v/>
      </c>
      <c r="N25" s="22">
        <f>O41-N10</f>
        <v/>
      </c>
      <c r="O25" s="22">
        <f>IF(O41&lt;N10,
N25*(O10/N10),
IF(O41&lt;N10+$B$10,N25*($C$10/$B$10),$C$10))</f>
        <v/>
      </c>
      <c r="P25" s="22">
        <f>Q41-P10</f>
        <v/>
      </c>
      <c r="Q25" s="22">
        <f>IF(Q41&lt;P10,
P25*(Q10/P10),
IF(Q41&lt;P10+$B$10,P25*($C$10/$B$10),$C$10))</f>
        <v/>
      </c>
      <c r="R25" s="22">
        <f>S41-R10</f>
        <v/>
      </c>
      <c r="S25" s="22">
        <f>IF(S41&lt;R10,
R25*(S10/R10),
IF(S41&lt;R10+$B$10,R25*($C$10/$B$10),$C$10))</f>
        <v/>
      </c>
      <c r="T25" s="22">
        <f>U41-T10</f>
        <v/>
      </c>
      <c r="U25" s="22">
        <f>IF(U41&lt;T10,
T25*(U10/T10),
IF(U41&lt;T10+$B$10,T25*($C$10/$B$10),$C$10))</f>
        <v/>
      </c>
    </row>
    <row r="26">
      <c r="A26" s="39" t="inlineStr">
        <is>
          <t>R1</t>
        </is>
      </c>
      <c r="C26" s="39" t="inlineStr">
        <is>
          <t>R1</t>
        </is>
      </c>
      <c r="D26" s="22">
        <f>E42-D13</f>
        <v/>
      </c>
      <c r="E26" s="22">
        <f>IF(E42&lt;D13,
D26*(E13/D13),
IF(E42&lt;D13+$B$13,D26*($C$13/$B$13),$C$13))</f>
        <v/>
      </c>
      <c r="F26" s="22">
        <f>G42-F13</f>
        <v/>
      </c>
      <c r="G26" s="22">
        <f>IF(G42&lt;F13,
F26*(G13/F13),
IF(G42&lt;F13+$B$13,F26*($C$13/$B$13),$C$13))</f>
        <v/>
      </c>
      <c r="H26" s="22">
        <f>I42-H13</f>
        <v/>
      </c>
      <c r="I26" s="22">
        <f>IF(I42&lt;H13,
H26*(I13/H13),
IF(I42&lt;H13+$B$13,H26*($C$13/$B$13),$C$13))</f>
        <v/>
      </c>
      <c r="J26" s="22">
        <f>K42-J13</f>
        <v/>
      </c>
      <c r="K26" s="22">
        <f>IF(K42&lt;J13,
J26*(K13/J13),
IF(K42&lt;J13+$B$13,J26*($C$13/$B$13),$C$13))</f>
        <v/>
      </c>
      <c r="L26" s="22">
        <f>M42-L13</f>
        <v/>
      </c>
      <c r="M26" s="22">
        <f>IF(M42&lt;L13,
L26*(M13/L13),
IF(M42&lt;L13+$B$13,L26*($C$13/$B$13),$C$13))</f>
        <v/>
      </c>
      <c r="N26" s="22">
        <f>O42-N13</f>
        <v/>
      </c>
      <c r="O26" s="22">
        <f>IF(O42&lt;N13,
N26*(O13/N13),
IF(O42&lt;N13+$B$13,N26*($C$13/$B$13),$C$13))</f>
        <v/>
      </c>
      <c r="P26" s="22">
        <f>Q42-P13</f>
        <v/>
      </c>
      <c r="Q26" s="22">
        <f>IF(Q42&lt;P13,
P26*(Q13/P13),
IF(Q42&lt;P13+$B$13,P26*($C$13/$B$13),$C$13))</f>
        <v/>
      </c>
      <c r="R26" s="22">
        <f>S42-R13</f>
        <v/>
      </c>
      <c r="S26" s="22">
        <f>IF(S42&lt;R13,
R26*(S13/R13),
IF(S42&lt;R13+$B$13,R26*($C$13/$B$13),$C$13))</f>
        <v/>
      </c>
      <c r="T26" s="22">
        <f>U42-T13</f>
        <v/>
      </c>
      <c r="U26" s="22">
        <f>IF(U42&lt;T13,
T26*(U13/T13),
IF(U42&lt;T13+$B$13,T26*($C$13/$B$13),$C$13))</f>
        <v/>
      </c>
    </row>
    <row r="27" ht="15" customHeight="1" thickBot="1">
      <c r="A27" s="40" t="inlineStr">
        <is>
          <t>R6</t>
        </is>
      </c>
      <c r="C27" s="40" t="inlineStr">
        <is>
          <t>R6</t>
        </is>
      </c>
      <c r="D27" s="29">
        <f>E43-D16</f>
        <v/>
      </c>
      <c r="E27" s="29">
        <f>IF(E43&lt;D16,
D27*(E16/D16),
IF(E43&lt;D16+$B$16,D27*($C$16/$B$16),$C$16))</f>
        <v/>
      </c>
      <c r="F27" s="29">
        <f>G43-F16</f>
        <v/>
      </c>
      <c r="G27" s="29">
        <f>IF(G43&lt;F16,
F27*(G16/F16),
IF(G43&lt;F16+$B$16,F27*($C$16/$B$16),$C$16))</f>
        <v/>
      </c>
      <c r="H27" s="29">
        <f>I43-H16</f>
        <v/>
      </c>
      <c r="I27" s="29">
        <f>IF(I43&lt;H16,
H27*(I16/H16),
IF(I43&lt;H16+$B$16,H27*($C$16/$B$16),$C$16))</f>
        <v/>
      </c>
      <c r="J27" s="29">
        <f>K43-J16</f>
        <v/>
      </c>
      <c r="K27" s="29">
        <f>IF(K43&lt;J16,
J27*(K16/J16),
IF(K43&lt;J16+$B$16,J27*($C$16/$B$16),$C$16))</f>
        <v/>
      </c>
      <c r="L27" s="29">
        <f>M43-L16</f>
        <v/>
      </c>
      <c r="M27" s="29">
        <f>IF(M43&lt;L16,
L27*(M16/L16),
IF(M43&lt;L16+$B$16,L27*($C$16/$B$16),$C$16))</f>
        <v/>
      </c>
      <c r="N27" s="29">
        <f>O43-N16</f>
        <v/>
      </c>
      <c r="O27" s="29">
        <f>IF(O43&lt;N16,
N27*(O16/N16),
IF(O43&lt;N16+$B$16,N27*($C$16/$B$16),$C$16))</f>
        <v/>
      </c>
      <c r="P27" s="29">
        <f>Q43-P16</f>
        <v/>
      </c>
      <c r="Q27" s="29">
        <f>IF(Q43&lt;P16,
P27*(Q16/P16),
IF(Q43&lt;P16+$B$16,P27*($C$16/$B$16),$C$16))</f>
        <v/>
      </c>
      <c r="R27" s="29">
        <f>S43-R16</f>
        <v/>
      </c>
      <c r="S27" s="29">
        <f>IF(S43&lt;R16,
R27*(S16/R16),
IF(S43&lt;R16+$B$16,R27*($C$16/$B$16),$C$16))</f>
        <v/>
      </c>
      <c r="T27" s="29">
        <f>U43-T16</f>
        <v/>
      </c>
      <c r="U27" s="29">
        <f>IF(U43&lt;T16,
T27*(U16/T16),
IF(U43&lt;T16+$B$16,T27*($C$16/$B$16),$C$16))</f>
        <v/>
      </c>
    </row>
    <row r="28" ht="15" customHeight="1" thickBot="1"/>
    <row r="29" ht="15" customHeight="1" thickBot="1">
      <c r="C29" s="69" t="inlineStr">
        <is>
          <t>Production / semaine</t>
        </is>
      </c>
      <c r="D29" s="117" t="inlineStr">
        <is>
          <t>W15 Total</t>
        </is>
      </c>
      <c r="E29" s="118" t="n"/>
      <c r="F29" s="117" t="inlineStr">
        <is>
          <t>W16 Total</t>
        </is>
      </c>
      <c r="G29" s="118" t="n"/>
      <c r="H29" s="117" t="inlineStr">
        <is>
          <t>W17 Total</t>
        </is>
      </c>
      <c r="I29" s="118" t="n"/>
      <c r="J29" s="117" t="inlineStr">
        <is>
          <t>W18 Total</t>
        </is>
      </c>
      <c r="K29" s="118" t="n"/>
      <c r="L29" s="117" t="inlineStr">
        <is>
          <t>W19 Total</t>
        </is>
      </c>
      <c r="M29" s="118" t="n"/>
      <c r="N29" s="117" t="inlineStr">
        <is>
          <t>W20 Total</t>
        </is>
      </c>
      <c r="O29" s="118" t="n"/>
      <c r="P29" s="145" t="inlineStr">
        <is>
          <t>W21 Total</t>
        </is>
      </c>
      <c r="Q29" s="118" t="n"/>
      <c r="R29" s="117" t="inlineStr">
        <is>
          <t>W22 Total</t>
        </is>
      </c>
      <c r="S29" s="118" t="n"/>
      <c r="T29" s="117" t="inlineStr">
        <is>
          <t>W23 Total</t>
        </is>
      </c>
      <c r="U29" s="118" t="n"/>
    </row>
    <row r="30">
      <c r="D30" s="33" t="inlineStr">
        <is>
          <t>L1</t>
        </is>
      </c>
      <c r="E30" s="21">
        <f>E23+E4</f>
        <v/>
      </c>
      <c r="F30" s="33" t="inlineStr">
        <is>
          <t>L1</t>
        </is>
      </c>
      <c r="G30" s="21">
        <f>G23+G4</f>
        <v/>
      </c>
      <c r="H30" s="33" t="inlineStr">
        <is>
          <t>L1</t>
        </is>
      </c>
      <c r="I30" s="21">
        <f>I23+I4</f>
        <v/>
      </c>
      <c r="J30" s="33" t="inlineStr">
        <is>
          <t>L1</t>
        </is>
      </c>
      <c r="K30" s="21">
        <f>K23+K4</f>
        <v/>
      </c>
      <c r="L30" s="33" t="inlineStr">
        <is>
          <t>L1</t>
        </is>
      </c>
      <c r="M30" s="21">
        <f>M23+M4</f>
        <v/>
      </c>
      <c r="N30" s="33" t="inlineStr">
        <is>
          <t>L1</t>
        </is>
      </c>
      <c r="O30" s="21">
        <f>O23+O4</f>
        <v/>
      </c>
      <c r="P30" s="122" t="inlineStr">
        <is>
          <t>L1</t>
        </is>
      </c>
      <c r="Q30" s="21">
        <f>Q23+Q4</f>
        <v/>
      </c>
      <c r="R30" s="33" t="inlineStr">
        <is>
          <t>L1</t>
        </is>
      </c>
      <c r="S30" s="21">
        <f>S23+S4</f>
        <v/>
      </c>
      <c r="T30" s="33" t="inlineStr">
        <is>
          <t>L1</t>
        </is>
      </c>
      <c r="U30" s="21">
        <f>U23+U4</f>
        <v/>
      </c>
    </row>
    <row r="31" ht="15" customHeight="1">
      <c r="D31" s="33" t="inlineStr">
        <is>
          <t>LAS1,</t>
        </is>
      </c>
      <c r="E31" s="21">
        <f>E24+E7</f>
        <v/>
      </c>
      <c r="F31" s="33" t="inlineStr">
        <is>
          <t>LAS1,</t>
        </is>
      </c>
      <c r="G31" s="21">
        <f>G24+G7</f>
        <v/>
      </c>
      <c r="H31" s="33" t="inlineStr">
        <is>
          <t>LAS1,</t>
        </is>
      </c>
      <c r="I31" s="21">
        <f>I24+I7</f>
        <v/>
      </c>
      <c r="J31" s="33" t="inlineStr">
        <is>
          <t>LAS1,</t>
        </is>
      </c>
      <c r="K31" s="21">
        <f>K24+K7</f>
        <v/>
      </c>
      <c r="L31" s="33" t="inlineStr">
        <is>
          <t>LAS1,</t>
        </is>
      </c>
      <c r="M31" s="21">
        <f>M24+M7</f>
        <v/>
      </c>
      <c r="N31" s="33" t="inlineStr">
        <is>
          <t>LAS1,</t>
        </is>
      </c>
      <c r="O31" s="21">
        <f>O24+O7</f>
        <v/>
      </c>
      <c r="P31" s="122" t="inlineStr">
        <is>
          <t>LAS1,</t>
        </is>
      </c>
      <c r="Q31" s="21">
        <f>Q24+Q7</f>
        <v/>
      </c>
      <c r="R31" s="33" t="inlineStr">
        <is>
          <t>LAS1,</t>
        </is>
      </c>
      <c r="S31" s="21">
        <f>S24+S7</f>
        <v/>
      </c>
      <c r="T31" s="33" t="inlineStr">
        <is>
          <t>LAS1,</t>
        </is>
      </c>
      <c r="U31" s="21">
        <f>U24+U7</f>
        <v/>
      </c>
    </row>
    <row r="32" ht="15" customHeight="1">
      <c r="D32" s="33" t="inlineStr">
        <is>
          <t>P3</t>
        </is>
      </c>
      <c r="E32" s="21">
        <f>E25+E10</f>
        <v/>
      </c>
      <c r="F32" s="33" t="inlineStr">
        <is>
          <t>P3</t>
        </is>
      </c>
      <c r="G32" s="21">
        <f>G25+G10</f>
        <v/>
      </c>
      <c r="H32" s="33" t="inlineStr">
        <is>
          <t>P3</t>
        </is>
      </c>
      <c r="I32" s="21">
        <f>I25+I10</f>
        <v/>
      </c>
      <c r="J32" s="33" t="inlineStr">
        <is>
          <t>P3</t>
        </is>
      </c>
      <c r="K32" s="21">
        <f>K25+K10</f>
        <v/>
      </c>
      <c r="L32" s="33" t="inlineStr">
        <is>
          <t>P3</t>
        </is>
      </c>
      <c r="M32" s="21">
        <f>M25+M10</f>
        <v/>
      </c>
      <c r="N32" s="33" t="inlineStr">
        <is>
          <t>P3</t>
        </is>
      </c>
      <c r="O32" s="21">
        <f>O25+O10</f>
        <v/>
      </c>
      <c r="P32" s="122" t="inlineStr">
        <is>
          <t>P3</t>
        </is>
      </c>
      <c r="Q32" s="21">
        <f>Q25+Q10</f>
        <v/>
      </c>
      <c r="R32" s="33" t="inlineStr">
        <is>
          <t>P3</t>
        </is>
      </c>
      <c r="S32" s="21">
        <f>S25+S10</f>
        <v/>
      </c>
      <c r="T32" s="33" t="inlineStr">
        <is>
          <t>P3</t>
        </is>
      </c>
      <c r="U32" s="21">
        <f>U25+U10</f>
        <v/>
      </c>
    </row>
    <row r="33" ht="15" customHeight="1">
      <c r="D33" s="33" t="inlineStr">
        <is>
          <t>R1</t>
        </is>
      </c>
      <c r="E33" s="21">
        <f>E26+E13</f>
        <v/>
      </c>
      <c r="F33" s="33" t="inlineStr">
        <is>
          <t>R1</t>
        </is>
      </c>
      <c r="G33" s="21">
        <f>G26+G13</f>
        <v/>
      </c>
      <c r="H33" s="33" t="inlineStr">
        <is>
          <t>R1</t>
        </is>
      </c>
      <c r="I33" s="21">
        <f>I26+I13</f>
        <v/>
      </c>
      <c r="J33" s="33" t="inlineStr">
        <is>
          <t>R1</t>
        </is>
      </c>
      <c r="K33" s="21">
        <f>K26+K13</f>
        <v/>
      </c>
      <c r="L33" s="33" t="inlineStr">
        <is>
          <t>R1</t>
        </is>
      </c>
      <c r="M33" s="21">
        <f>M26+M13</f>
        <v/>
      </c>
      <c r="N33" s="33" t="inlineStr">
        <is>
          <t>R1</t>
        </is>
      </c>
      <c r="O33" s="21">
        <f>O26+O13</f>
        <v/>
      </c>
      <c r="P33" s="122" t="inlineStr">
        <is>
          <t>R1</t>
        </is>
      </c>
      <c r="Q33" s="21">
        <f>Q26+Q13</f>
        <v/>
      </c>
      <c r="R33" s="33" t="inlineStr">
        <is>
          <t>R1</t>
        </is>
      </c>
      <c r="S33" s="21">
        <f>S26+S13</f>
        <v/>
      </c>
      <c r="T33" s="33" t="inlineStr">
        <is>
          <t>R1</t>
        </is>
      </c>
      <c r="U33" s="21">
        <f>U26+U13</f>
        <v/>
      </c>
    </row>
    <row r="34" ht="15" customHeight="1" thickBot="1">
      <c r="D34" s="33" t="inlineStr">
        <is>
          <t>R6</t>
        </is>
      </c>
      <c r="E34" s="21">
        <f>E27+E16</f>
        <v/>
      </c>
      <c r="F34" s="33" t="inlineStr">
        <is>
          <t>R6</t>
        </is>
      </c>
      <c r="G34" s="21">
        <f>G27+G16</f>
        <v/>
      </c>
      <c r="H34" s="33" t="inlineStr">
        <is>
          <t>R6</t>
        </is>
      </c>
      <c r="I34" s="21">
        <f>I27+I16</f>
        <v/>
      </c>
      <c r="J34" s="33" t="inlineStr">
        <is>
          <t>R6</t>
        </is>
      </c>
      <c r="K34" s="21">
        <f>K27+K16</f>
        <v/>
      </c>
      <c r="L34" s="33" t="inlineStr">
        <is>
          <t>R6</t>
        </is>
      </c>
      <c r="M34" s="21">
        <f>M27+M16</f>
        <v/>
      </c>
      <c r="N34" s="33" t="inlineStr">
        <is>
          <t>R6</t>
        </is>
      </c>
      <c r="O34" s="21">
        <f>O27+O16</f>
        <v/>
      </c>
      <c r="P34" s="122" t="inlineStr">
        <is>
          <t>R6</t>
        </is>
      </c>
      <c r="Q34" s="21">
        <f>Q27+Q16</f>
        <v/>
      </c>
      <c r="R34" s="33" t="inlineStr">
        <is>
          <t>R6</t>
        </is>
      </c>
      <c r="S34" s="21">
        <f>S27+S16</f>
        <v/>
      </c>
      <c r="T34" s="33" t="inlineStr">
        <is>
          <t>R6</t>
        </is>
      </c>
      <c r="U34" s="21">
        <f>U27+U16</f>
        <v/>
      </c>
    </row>
    <row r="35" ht="24" customFormat="1" customHeight="1" s="23" thickBot="1">
      <c r="D35" s="25" t="inlineStr">
        <is>
          <t>Total</t>
        </is>
      </c>
      <c r="E35" s="24">
        <f>SUM(E30:E34)</f>
        <v/>
      </c>
      <c r="F35" s="36" t="inlineStr">
        <is>
          <t>Total</t>
        </is>
      </c>
      <c r="G35" s="24">
        <f>SUM(G30:G34)</f>
        <v/>
      </c>
      <c r="H35" s="36" t="inlineStr">
        <is>
          <t>Total</t>
        </is>
      </c>
      <c r="I35" s="24">
        <f>SUM(I30:I34)</f>
        <v/>
      </c>
      <c r="J35" s="36" t="inlineStr">
        <is>
          <t>Total</t>
        </is>
      </c>
      <c r="K35" s="24">
        <f>SUM(K30:K34)</f>
        <v/>
      </c>
      <c r="L35" s="36" t="inlineStr">
        <is>
          <t>Total</t>
        </is>
      </c>
      <c r="M35" s="24">
        <f>SUM(M30:M34)</f>
        <v/>
      </c>
      <c r="N35" s="36" t="inlineStr">
        <is>
          <t>Total</t>
        </is>
      </c>
      <c r="O35" s="24">
        <f>SUM(O30:O34)</f>
        <v/>
      </c>
      <c r="P35" s="35" t="inlineStr">
        <is>
          <t>Total</t>
        </is>
      </c>
      <c r="Q35" s="24">
        <f>SUM(Q30:Q34)</f>
        <v/>
      </c>
      <c r="R35" s="36" t="inlineStr">
        <is>
          <t>Total</t>
        </is>
      </c>
      <c r="S35" s="24">
        <f>SUM(S30:S34)</f>
        <v/>
      </c>
      <c r="T35" s="36" t="inlineStr">
        <is>
          <t>Total</t>
        </is>
      </c>
      <c r="U35" s="24">
        <f>SUM(U30:U34)</f>
        <v/>
      </c>
    </row>
    <row r="37" ht="15" customHeight="1" thickBot="1"/>
    <row r="38" ht="15" customHeight="1" thickBot="1">
      <c r="A38" s="70" t="inlineStr">
        <is>
          <t>MRF</t>
        </is>
      </c>
      <c r="B38" s="79" t="inlineStr">
        <is>
          <t>Objectif</t>
        </is>
      </c>
      <c r="C38" s="78" t="inlineStr">
        <is>
          <t>Réel</t>
        </is>
      </c>
      <c r="D38" s="138" t="inlineStr">
        <is>
          <t>W15 Programmation Semaine</t>
        </is>
      </c>
      <c r="E38" s="118" t="n"/>
      <c r="F38" s="138" t="inlineStr">
        <is>
          <t>W16 Programmation Semaine</t>
        </is>
      </c>
      <c r="G38" s="118" t="n"/>
      <c r="H38" s="138" t="inlineStr">
        <is>
          <t>W17 Programmation Semaine</t>
        </is>
      </c>
      <c r="I38" s="118" t="n"/>
      <c r="J38" s="138" t="inlineStr">
        <is>
          <t>W18 Programmation Semaine</t>
        </is>
      </c>
      <c r="K38" s="118" t="n"/>
      <c r="L38" s="138" t="inlineStr">
        <is>
          <t>W19 Programmation Semaine</t>
        </is>
      </c>
      <c r="M38" s="118" t="n"/>
      <c r="N38" s="138" t="inlineStr">
        <is>
          <t>W20 Programmation Semaine</t>
        </is>
      </c>
      <c r="O38" s="118" t="n"/>
      <c r="P38" s="138" t="inlineStr">
        <is>
          <t>W21 Programmation Semaine</t>
        </is>
      </c>
      <c r="Q38" s="118" t="n"/>
      <c r="R38" s="138" t="inlineStr">
        <is>
          <t>W22 Programmation Semaine</t>
        </is>
      </c>
      <c r="S38" s="118" t="n"/>
      <c r="T38" s="138" t="inlineStr">
        <is>
          <t>W23 Programmation Semaine</t>
        </is>
      </c>
      <c r="U38" s="118" t="n"/>
    </row>
    <row r="39">
      <c r="A39" s="76" t="inlineStr">
        <is>
          <t>April</t>
        </is>
      </c>
      <c r="B39" s="80" t="n">
        <v>3700</v>
      </c>
      <c r="C39" s="74">
        <f>SUM(E35*1.0 + G35*1.0 + I35*1.0 + K35*0.8)</f>
        <v/>
      </c>
      <c r="D39" s="42" t="inlineStr">
        <is>
          <t>L1</t>
        </is>
      </c>
      <c r="E39" s="12" t="n">
        <v>2.79</v>
      </c>
      <c r="F39" s="42" t="inlineStr">
        <is>
          <t>L1</t>
        </is>
      </c>
      <c r="G39" s="122" t="n">
        <v>5.83</v>
      </c>
      <c r="H39" s="42" t="inlineStr">
        <is>
          <t>L1</t>
        </is>
      </c>
      <c r="I39" s="122" t="n">
        <v>5.899999999999999</v>
      </c>
      <c r="J39" s="42" t="inlineStr">
        <is>
          <t>L1</t>
        </is>
      </c>
      <c r="K39" s="122" t="n">
        <v>6.17</v>
      </c>
      <c r="L39" s="42" t="inlineStr">
        <is>
          <t>L1</t>
        </is>
      </c>
      <c r="M39" s="122" t="n">
        <v>4.09</v>
      </c>
      <c r="N39" s="42" t="inlineStr">
        <is>
          <t>L1</t>
        </is>
      </c>
      <c r="O39" s="122" t="n">
        <v>0</v>
      </c>
      <c r="P39" s="42" t="inlineStr">
        <is>
          <t>L1</t>
        </is>
      </c>
      <c r="Q39" s="122" t="n">
        <v>0</v>
      </c>
      <c r="R39" s="42" t="inlineStr">
        <is>
          <t>L1</t>
        </is>
      </c>
      <c r="S39" s="122" t="n">
        <v>0</v>
      </c>
      <c r="T39" s="42" t="inlineStr">
        <is>
          <t>L1</t>
        </is>
      </c>
      <c r="U39" s="122" t="n">
        <v>0</v>
      </c>
    </row>
    <row r="40">
      <c r="A40" s="76" t="inlineStr">
        <is>
          <t>May</t>
        </is>
      </c>
      <c r="B40" s="80" t="n">
        <v>3800</v>
      </c>
      <c r="C40" s="74">
        <f>SUM(K35*0.2 + M35*1.0 + O35*1.0 + Q35*1.0 + S35*1.0)</f>
        <v/>
      </c>
      <c r="D40" s="39" t="inlineStr">
        <is>
          <t>LAS1,</t>
        </is>
      </c>
      <c r="E40" s="12" t="n">
        <v>0.17</v>
      </c>
      <c r="F40" s="39" t="inlineStr">
        <is>
          <t>LAS1,</t>
        </is>
      </c>
      <c r="G40" s="122" t="n">
        <v>0.57</v>
      </c>
      <c r="H40" s="39" t="inlineStr">
        <is>
          <t>LAS1,</t>
        </is>
      </c>
      <c r="I40" s="122" t="n">
        <v>0.95</v>
      </c>
      <c r="J40" s="39" t="inlineStr">
        <is>
          <t>LAS1,</t>
        </is>
      </c>
      <c r="K40" s="122" t="n">
        <v>0.41</v>
      </c>
      <c r="L40" s="39" t="inlineStr">
        <is>
          <t>LAS1,</t>
        </is>
      </c>
      <c r="M40" s="122" t="n">
        <v>2.19</v>
      </c>
      <c r="N40" s="39" t="inlineStr">
        <is>
          <t>LAS1,</t>
        </is>
      </c>
      <c r="O40" s="122" t="n">
        <v>0</v>
      </c>
      <c r="P40" s="39" t="inlineStr">
        <is>
          <t>LAS1,</t>
        </is>
      </c>
      <c r="Q40" s="122" t="n">
        <v>0</v>
      </c>
      <c r="R40" s="39" t="inlineStr">
        <is>
          <t>LAS1,</t>
        </is>
      </c>
      <c r="S40" s="122" t="n">
        <v>0</v>
      </c>
      <c r="T40" s="39" t="inlineStr">
        <is>
          <t>LAS1,</t>
        </is>
      </c>
      <c r="U40" s="122" t="n">
        <v>0</v>
      </c>
    </row>
    <row r="41" ht="15" customHeight="1" thickBot="1">
      <c r="A41" s="77" t="n"/>
      <c r="B41" s="81" t="n">
        <v>3900</v>
      </c>
      <c r="C41" s="75" t="n"/>
      <c r="D41" s="39" t="inlineStr">
        <is>
          <t>P3</t>
        </is>
      </c>
      <c r="E41" s="12" t="n">
        <v>10.33</v>
      </c>
      <c r="F41" s="39" t="inlineStr">
        <is>
          <t>P3</t>
        </is>
      </c>
      <c r="G41" s="122" t="n">
        <v>7.68</v>
      </c>
      <c r="H41" s="39" t="inlineStr">
        <is>
          <t>P3</t>
        </is>
      </c>
      <c r="I41" s="122" t="n">
        <v>5.21</v>
      </c>
      <c r="J41" s="39" t="inlineStr">
        <is>
          <t>P3</t>
        </is>
      </c>
      <c r="K41" s="122" t="n">
        <v>1.71</v>
      </c>
      <c r="L41" s="39" t="inlineStr">
        <is>
          <t>P3</t>
        </is>
      </c>
      <c r="M41" s="122" t="n">
        <v>4.04</v>
      </c>
      <c r="N41" s="39" t="inlineStr">
        <is>
          <t>P3</t>
        </is>
      </c>
      <c r="O41" s="122" t="n">
        <v>0</v>
      </c>
      <c r="P41" s="39" t="inlineStr">
        <is>
          <t>P3</t>
        </is>
      </c>
      <c r="Q41" s="122" t="n">
        <v>0</v>
      </c>
      <c r="R41" s="39" t="inlineStr">
        <is>
          <t>P3</t>
        </is>
      </c>
      <c r="S41" s="122" t="n">
        <v>0</v>
      </c>
      <c r="T41" s="39" t="inlineStr">
        <is>
          <t>P3</t>
        </is>
      </c>
      <c r="U41" s="122" t="n">
        <v>0</v>
      </c>
    </row>
    <row r="42">
      <c r="D42" s="39" t="inlineStr">
        <is>
          <t>R1</t>
        </is>
      </c>
      <c r="E42" s="12" t="n">
        <v>3.43</v>
      </c>
      <c r="F42" s="39" t="inlineStr">
        <is>
          <t>R1</t>
        </is>
      </c>
      <c r="G42" s="122" t="n">
        <v>8.959999999999999</v>
      </c>
      <c r="H42" s="39" t="inlineStr">
        <is>
          <t>R1</t>
        </is>
      </c>
      <c r="I42" s="122" t="n">
        <v>5.49</v>
      </c>
      <c r="J42" s="39" t="inlineStr">
        <is>
          <t>R1</t>
        </is>
      </c>
      <c r="K42" s="122" t="n">
        <v>3.76</v>
      </c>
      <c r="L42" s="39" t="inlineStr">
        <is>
          <t>R1</t>
        </is>
      </c>
      <c r="M42" s="122" t="n">
        <v>3.25</v>
      </c>
      <c r="N42" s="39" t="inlineStr">
        <is>
          <t>R1</t>
        </is>
      </c>
      <c r="O42" s="122" t="n">
        <v>0</v>
      </c>
      <c r="P42" s="39" t="inlineStr">
        <is>
          <t>R1</t>
        </is>
      </c>
      <c r="Q42" s="122" t="n">
        <v>0</v>
      </c>
      <c r="R42" s="39" t="inlineStr">
        <is>
          <t>R1</t>
        </is>
      </c>
      <c r="S42" s="122" t="n">
        <v>0</v>
      </c>
      <c r="T42" s="39" t="inlineStr">
        <is>
          <t>R1</t>
        </is>
      </c>
      <c r="U42" s="122" t="n">
        <v>0</v>
      </c>
    </row>
    <row r="43" ht="15" customHeight="1" thickBot="1">
      <c r="D43" s="40" t="inlineStr">
        <is>
          <t>R6</t>
        </is>
      </c>
      <c r="E43" s="13" t="n">
        <v>2.62</v>
      </c>
      <c r="F43" s="40" t="inlineStr">
        <is>
          <t>R6</t>
        </is>
      </c>
      <c r="G43" s="127" t="n">
        <v>3.12</v>
      </c>
      <c r="H43" s="40" t="inlineStr">
        <is>
          <t>R6</t>
        </is>
      </c>
      <c r="I43" s="127" t="n">
        <v>2.92</v>
      </c>
      <c r="J43" s="40" t="inlineStr">
        <is>
          <t>R6</t>
        </is>
      </c>
      <c r="K43" s="127" t="n">
        <v>2.42</v>
      </c>
      <c r="L43" s="40" t="inlineStr">
        <is>
          <t>R6</t>
        </is>
      </c>
      <c r="M43" s="127" t="n">
        <v>2.48</v>
      </c>
      <c r="N43" s="40" t="inlineStr">
        <is>
          <t>R6</t>
        </is>
      </c>
      <c r="O43" s="127" t="n">
        <v>0</v>
      </c>
      <c r="P43" s="40" t="inlineStr">
        <is>
          <t>R6</t>
        </is>
      </c>
      <c r="Q43" s="127" t="n">
        <v>0</v>
      </c>
      <c r="R43" s="40" t="inlineStr">
        <is>
          <t>R6</t>
        </is>
      </c>
      <c r="S43" s="127" t="n">
        <v>0</v>
      </c>
      <c r="T43" s="40" t="inlineStr">
        <is>
          <t>R6</t>
        </is>
      </c>
      <c r="U43" s="127" t="n">
        <v>0</v>
      </c>
    </row>
    <row r="44" ht="42" customHeight="1" thickBot="1">
      <c r="D44" s="11" t="n"/>
      <c r="E44" s="30" t="n"/>
    </row>
    <row r="45" ht="15" customHeight="1" thickBot="1">
      <c r="E45" s="19" t="inlineStr">
        <is>
          <t>Reset Prog</t>
        </is>
      </c>
      <c r="G45" s="19" t="inlineStr">
        <is>
          <t>Reset Prog</t>
        </is>
      </c>
      <c r="I45" s="19" t="inlineStr">
        <is>
          <t>Reset Prog</t>
        </is>
      </c>
      <c r="K45" s="19" t="inlineStr">
        <is>
          <t>Reset Prog</t>
        </is>
      </c>
      <c r="M45" s="19" t="inlineStr">
        <is>
          <t>Reset Prog</t>
        </is>
      </c>
      <c r="O45" s="19" t="inlineStr">
        <is>
          <t>Reset Prog</t>
        </is>
      </c>
      <c r="Q45" s="19" t="inlineStr">
        <is>
          <t>Reset Prog</t>
        </is>
      </c>
      <c r="S45" s="19" t="inlineStr">
        <is>
          <t>Reset Prog</t>
        </is>
      </c>
      <c r="U45" s="19" t="inlineStr">
        <is>
          <t>Reset Prog</t>
        </is>
      </c>
    </row>
    <row r="46" ht="15" customHeight="1" thickBot="1"/>
    <row r="47" ht="15" customHeight="1" thickBot="1">
      <c r="E47" s="20" t="inlineStr">
        <is>
          <t>Minimum Prog</t>
        </is>
      </c>
      <c r="G47" s="20" t="inlineStr">
        <is>
          <t>Minimum Prog</t>
        </is>
      </c>
      <c r="I47" s="20" t="inlineStr">
        <is>
          <t>Minimum Prog</t>
        </is>
      </c>
      <c r="K47" s="20" t="inlineStr">
        <is>
          <t>Minimum Prog</t>
        </is>
      </c>
      <c r="M47" s="20" t="inlineStr">
        <is>
          <t>Minimum Prog</t>
        </is>
      </c>
      <c r="O47" s="20" t="inlineStr">
        <is>
          <t>Minimum Prog</t>
        </is>
      </c>
      <c r="Q47" s="20" t="inlineStr">
        <is>
          <t>Minimum Prog</t>
        </is>
      </c>
      <c r="S47" s="20" t="inlineStr">
        <is>
          <t>Minimum Prog</t>
        </is>
      </c>
      <c r="U47" s="20" t="inlineStr">
        <is>
          <t>Minimum Prog</t>
        </is>
      </c>
    </row>
    <row r="48" ht="15" customHeight="1" thickBot="1"/>
    <row r="49" ht="15" customHeight="1" thickBot="1">
      <c r="C49" s="69" t="inlineStr">
        <is>
          <t>Coefficient productivité</t>
        </is>
      </c>
      <c r="D49" s="38" t="n">
        <v>1</v>
      </c>
    </row>
    <row r="52" ht="15" customHeight="1" thickBot="1"/>
    <row r="53" ht="15" customHeight="1" thickBot="1">
      <c r="C53" s="70" t="inlineStr">
        <is>
          <t>Backlog</t>
        </is>
      </c>
      <c r="D53" s="117" t="inlineStr">
        <is>
          <t>W15 Ratrappage Backlog</t>
        </is>
      </c>
      <c r="E53" s="118" t="n"/>
      <c r="F53" s="117" t="inlineStr">
        <is>
          <t>W16 Ratrappage Backlog</t>
        </is>
      </c>
      <c r="G53" s="118" t="n"/>
      <c r="H53" s="117" t="inlineStr">
        <is>
          <t>W17 Ratrappage Backlog</t>
        </is>
      </c>
      <c r="I53" s="118" t="n"/>
      <c r="J53" s="117" t="inlineStr">
        <is>
          <t>W18 Ratrappage Backlog</t>
        </is>
      </c>
      <c r="K53" s="118" t="n"/>
      <c r="L53" s="117" t="inlineStr">
        <is>
          <t>W19 Ratrappage Backlog</t>
        </is>
      </c>
      <c r="M53" s="118" t="n"/>
      <c r="N53" s="117" t="inlineStr">
        <is>
          <t>W20 Ratrappage Backlog</t>
        </is>
      </c>
      <c r="O53" s="118" t="n"/>
      <c r="P53" s="117" t="inlineStr">
        <is>
          <t>W21 Ratrappage Backlog</t>
        </is>
      </c>
      <c r="Q53" s="118" t="n"/>
      <c r="R53" s="117" t="inlineStr">
        <is>
          <t>W22 Ratrappage Backlog</t>
        </is>
      </c>
      <c r="S53" s="118" t="n"/>
      <c r="T53" s="117" t="inlineStr">
        <is>
          <t>W23 Ratrappage Backlog</t>
        </is>
      </c>
      <c r="U53" s="118" t="n"/>
    </row>
    <row r="54">
      <c r="D54" s="37" t="inlineStr">
        <is>
          <t>L1</t>
        </is>
      </c>
      <c r="E54" s="21">
        <f>IF($C$4+$E$4-$E$30 &gt; 0, $C$4+$E$4-$E$30, 0)</f>
        <v/>
      </c>
      <c r="F54" s="37" t="inlineStr">
        <is>
          <t>L1</t>
        </is>
      </c>
      <c r="G54" s="21">
        <f>IF(E4-E30+G4-G30+C4 &gt; 0, E4-E30+G4-G30+C4, 0)</f>
        <v/>
      </c>
      <c r="H54" s="37" t="inlineStr">
        <is>
          <t>L1</t>
        </is>
      </c>
      <c r="I54" s="21">
        <f>IF(E4-E30+G4-G30+I4-I30+$C$4 &gt; 0, E4-E30+G4-G30+I4-I30+$C$4, 0)</f>
        <v/>
      </c>
      <c r="J54" s="37" t="inlineStr">
        <is>
          <t>L1</t>
        </is>
      </c>
      <c r="K54" s="21">
        <f>IF(E4-E30+G4-G30+I4-I30+K4-K30+$C$4 &gt; 0, E4-E30+G4-G30+I4-I30+K4-K30+$C$4, 0)</f>
        <v/>
      </c>
      <c r="L54" s="37" t="inlineStr">
        <is>
          <t>L1</t>
        </is>
      </c>
      <c r="M54" s="21">
        <f>IF(G4-G30+I4-I30+K4-K30+M4-M30+$C$4+E4-E30 &gt; 0, G4-G30+I4-I30+K4-K30+M4-M30+$C$4+E4-E30, 0)</f>
        <v/>
      </c>
      <c r="N54" s="37" t="inlineStr">
        <is>
          <t>L1</t>
        </is>
      </c>
      <c r="O54" s="21">
        <f>IF(I4-I30+K4-K30+M4-M30+O4-O30+$C$4+G4-G30+E4-E30 &gt; 0, I4-I30+K4-K30+M4-M30+O4-O30+$C$4+G4-G30+E4-E30, 0)</f>
        <v/>
      </c>
      <c r="P54" s="37" t="inlineStr">
        <is>
          <t>L1</t>
        </is>
      </c>
      <c r="Q54" s="21">
        <f>IF(K4-K30+M4-M30+O4-O30+Q4-Q30+$C$4+I4-I30+G4-G30+E4-E30 &gt; 0, K4-K30+M4-M30+O4-O30+Q4-Q30+$C$4+I4-I30+G4-G30+E4-E30, 0)</f>
        <v/>
      </c>
      <c r="R54" s="37" t="inlineStr">
        <is>
          <t>L1</t>
        </is>
      </c>
      <c r="S54" s="21">
        <f>IF(M4-M30+O4-O30+Q4-Q30+S4-S30+$C$4+K4-K30+I4-I30+G4-G30+E4-E30 &gt; 0, M4-M30+O4-O30+Q4-Q30+S4-S30+$C$4+K4-K30+I4-I30+G4-G30+E4-E30, 0)</f>
        <v/>
      </c>
      <c r="T54" s="37" t="inlineStr">
        <is>
          <t>L1</t>
        </is>
      </c>
      <c r="U54" s="21">
        <f>IF(O4-O30+Q4-Q30+S4-S30+U4-U30+$C$4+M4-M30+K4-K30+I4-I30+G4-G30+E4-E30 &gt; 0, O4-O30+Q4-Q30+S4-S30+U4-U30+$C$4+M4-M30+K4-K30+I4-I30+G4-G30+E4-E30, 0)</f>
        <v/>
      </c>
    </row>
    <row r="55">
      <c r="D55" s="33" t="inlineStr">
        <is>
          <t>LAS1,</t>
        </is>
      </c>
      <c r="E55" s="21">
        <f>IF($C$7+$E$7-$E$31 &gt; 0, $C$7+$E$7-$E$31, 0)</f>
        <v/>
      </c>
      <c r="F55" s="33" t="inlineStr">
        <is>
          <t>LAS1,</t>
        </is>
      </c>
      <c r="G55" s="21">
        <f>IF(E7-E31+G7-G31+C7 &gt; 0, E7-E31+G7-G31+C7, 0)</f>
        <v/>
      </c>
      <c r="H55" s="33" t="inlineStr">
        <is>
          <t>LAS1,</t>
        </is>
      </c>
      <c r="I55" s="21">
        <f>IF(E7-E31+G7-G31+I7-I31+C7 &gt; 0,E7-E31+G7-G31+I7-I31+C7, 0)</f>
        <v/>
      </c>
      <c r="J55" s="33" t="inlineStr">
        <is>
          <t>LAS1,</t>
        </is>
      </c>
      <c r="K55" s="21">
        <f>IF(E7-E31+G7-G31+I7-I31+K7-K31+C7 &gt; 0,E7-E31+G7-G31+I7-I31+K7-K31+C7, 0)</f>
        <v/>
      </c>
      <c r="L55" s="33" t="inlineStr">
        <is>
          <t>LAS1,</t>
        </is>
      </c>
      <c r="M55" s="21">
        <f>IF(G7-G31+I7-I31+K7-K31+M7-M31+$C7+E7-E31 &gt; 0,G7-G31+I7-I31+K7-K31+M7-M31+$C7+E7-E31, 0)</f>
        <v/>
      </c>
      <c r="N55" s="33" t="inlineStr">
        <is>
          <t>LAS1,</t>
        </is>
      </c>
      <c r="O55" s="21">
        <f>IF(I7-I31+K7-K31+M7-M31+O7-O31+$C7+G7-G31+E7-E31 &gt; 0,I7-I31+K7-K31+M7-M31+O7-O31+$C7+G7-G31+E7-E31, 0)</f>
        <v/>
      </c>
      <c r="P55" s="33" t="inlineStr">
        <is>
          <t>LAS1,</t>
        </is>
      </c>
      <c r="Q55" s="21">
        <f>IF(K7-K31+M7-M31+O7-O31+Q7-Q31+$C7+I7-I31+G7-G31+E7-E31 &gt; 0,K7-K31+M7-M31+O7-O31+Q7-Q31+$C7+I7-I31+G7-G31+E7-E31, 0)</f>
        <v/>
      </c>
      <c r="R55" s="33" t="inlineStr">
        <is>
          <t>LAS1,</t>
        </is>
      </c>
      <c r="S55" s="21">
        <f>IF(M7-M31+O7-O31+Q7-Q31+S7-S31+$C7+K7-K31+I7-I31+G7-G31+E7-E31 &gt; 0,M7-M31+O7-O31+Q7-Q31+S7-S31+$C7+K7-K31+I7-I31+G7-G31+E7-E31, 0)</f>
        <v/>
      </c>
      <c r="T55" s="33" t="inlineStr">
        <is>
          <t>LAS1,</t>
        </is>
      </c>
      <c r="U55" s="21">
        <f>IF(O7-O31+Q7-Q31+S7-S31+U7-U31+$C7+M7-M31+K7-K31+I7-I31+G7-G31+E7-E31 &gt; 0,O7-O31+Q7-Q31+S7-S31+U7-U31+$C7+M7-M31+K7-K31+I7-I31+G7-G31+E7-E31, 0)</f>
        <v/>
      </c>
    </row>
    <row r="56">
      <c r="D56" s="33" t="inlineStr">
        <is>
          <t>P3</t>
        </is>
      </c>
      <c r="E56" s="21">
        <f>IF($C$10+$E$10-$E$32 &gt; 0, $C$10+$E$10-$E$32, 0)</f>
        <v/>
      </c>
      <c r="F56" s="33" t="inlineStr">
        <is>
          <t>P3</t>
        </is>
      </c>
      <c r="G56" s="21">
        <f>IF(E10-E32+G10-G32+C10 &gt; 0, E10-E32+G10-G32+C10, 0)</f>
        <v/>
      </c>
      <c r="H56" s="33" t="inlineStr">
        <is>
          <t>P3</t>
        </is>
      </c>
      <c r="I56" s="21">
        <f>IF(E10-E32+G10-G32+I10-I32+C10 &gt; 0,E10-E32+G10-G32+I10-I32+C10, 0)</f>
        <v/>
      </c>
      <c r="J56" s="33" t="inlineStr">
        <is>
          <t>P3</t>
        </is>
      </c>
      <c r="K56" s="21">
        <f>IF(E10-E32+G10-G32+I10-I32+K10-K32+C10 &gt; 0,E10-E32+G10-G32+I10-I32+K10-K32+C10, 0)</f>
        <v/>
      </c>
      <c r="L56" s="33" t="inlineStr">
        <is>
          <t>P3</t>
        </is>
      </c>
      <c r="M56" s="21">
        <f>IF(G10-G32+I10-I32+K10-K32+M10-M32+$C10+E10-E32 &gt; 0,G10-G32+I10-I32+K10-K32+M10-M32+$C10+E10-E32, 0)</f>
        <v/>
      </c>
      <c r="N56" s="33" t="inlineStr">
        <is>
          <t>P3</t>
        </is>
      </c>
      <c r="O56" s="21">
        <f>IF(I10-I32+K10-K32+M10-M32+O10-O32+$C10+G10-G32+E10-E32 &gt; 0,I10-I32+K10-K32+M10-M32+O10-O32+$C10+G10-G32+E10-E32, 0)</f>
        <v/>
      </c>
      <c r="P56" s="33" t="inlineStr">
        <is>
          <t>P3</t>
        </is>
      </c>
      <c r="Q56" s="21">
        <f>IF(K10-K32+M10-M32+O10-O32+Q10-Q32+$C10+I10-I32+G10-G32+E10-E32 &gt; 0,K10-K32+M10-M32+O10-O32+Q10-Q32+$C10+I10-I32+G10-G32+E10-E32, 0)</f>
        <v/>
      </c>
      <c r="R56" s="33" t="inlineStr">
        <is>
          <t>P3</t>
        </is>
      </c>
      <c r="S56" s="21">
        <f>IF(M10-M32+O10-O32+Q10-Q32+S10-S32+$C10+K10-K32+I10-I32+G10-G32+E10-E32 &gt; 0,M10-M32+O10-O32+Q10-Q32+S10-S32+$C10+K10-K32+I10-I32+G10-G32+E10-E32, 0)</f>
        <v/>
      </c>
      <c r="T56" s="33" t="inlineStr">
        <is>
          <t>P3</t>
        </is>
      </c>
      <c r="U56" s="21">
        <f>IF(O10-O32+Q10-Q32+S10-S32+U10-U32+$C10+M10-M32+K10-K32+I10-I32+G10-G32+E10-E32 &gt; 0,O10-O32+Q10-Q32+S10-S32+U10-U32+$C10+M10-M32+K10-K32+I10-I32+G10-G32+E10-E32, 0)</f>
        <v/>
      </c>
    </row>
    <row r="57">
      <c r="D57" s="33" t="inlineStr">
        <is>
          <t>R1</t>
        </is>
      </c>
      <c r="E57" s="21">
        <f>IF($C$13+$E$13-$E$33 &gt; 0, $C$13+$E$13-$E$33, 0)</f>
        <v/>
      </c>
      <c r="F57" s="33" t="inlineStr">
        <is>
          <t>R1</t>
        </is>
      </c>
      <c r="G57" s="21">
        <f>IF(E13-E33+G13-G33+C13 &gt; 0, E13-E33+G13-G33+C13, 0)</f>
        <v/>
      </c>
      <c r="H57" s="33" t="inlineStr">
        <is>
          <t>R1</t>
        </is>
      </c>
      <c r="I57" s="21">
        <f>IF(E13-E33+G13-G33+I13-I33+C13 &gt; 0, E13-E33+G13-G33+I13-I33+C13, 0)</f>
        <v/>
      </c>
      <c r="J57" s="33" t="inlineStr">
        <is>
          <t>R1</t>
        </is>
      </c>
      <c r="K57" s="21">
        <f>IF(G13-G33+I13-I33+K13-K33+C13+E13-E33 &gt; 0, G13-G33+I13-I33+K13-K33+C13+E13-E33, 0)</f>
        <v/>
      </c>
      <c r="L57" s="33" t="inlineStr">
        <is>
          <t>R1</t>
        </is>
      </c>
      <c r="M57" s="21">
        <f>IF(I13-I33+K13-K33+M13-M33+$C13+G13-G33+E13-E33 &gt; 0, I13-I33+K13-K33+M13-M33+$C13+G13-G33+E13-E33, 0)</f>
        <v/>
      </c>
      <c r="N57" s="33" t="inlineStr">
        <is>
          <t>R1</t>
        </is>
      </c>
      <c r="O57" s="21">
        <f>IF(K13-K33+M13-M33+O13-O33+$C13+I13-I33+G13-G33+E13-E33 &gt; 0, K13-K33+M13-M33+O13-O33+$C13+I13-I33+G13-G33+E13-E33, 0)</f>
        <v/>
      </c>
      <c r="P57" s="33" t="inlineStr">
        <is>
          <t>R1</t>
        </is>
      </c>
      <c r="Q57" s="21">
        <f>IF(M13-M33+O13-O33+Q13-Q33+$C13+K13-K33+I13-I33+G13-G33+E13-E33 &gt; 0, M13-M33+O13-O33+Q13-Q33+$C13+K13-K33+I13-I33+G13-G33+E13-E33, 0)</f>
        <v/>
      </c>
      <c r="R57" s="33" t="inlineStr">
        <is>
          <t>R1</t>
        </is>
      </c>
      <c r="S57" s="21">
        <f>IF(O13-O33+Q13-Q33+S13-S33+$C13+M13-M33+K13-K33+I13-I33+G13-G33+E13-E33 &gt; 0, O13-O33+Q13-Q33+S13-S33+$C13+M13-M33+K13-K33+I13-I33+G13-G33+E13-E33, 0)</f>
        <v/>
      </c>
      <c r="T57" s="33" t="inlineStr">
        <is>
          <t>R1</t>
        </is>
      </c>
      <c r="U57" s="21">
        <f>IF(Q13-Q33+S13-S33+U13-U33+$C13+O13-O33+M13-M33+K13-K33+I13-I33+G13-G33+E13-E33 &gt; 0, Q13-Q33+S13-S33+U13-U33+$C13+O13-O33+M13-M33+K13-K33+I13-I33+G13-G33+E13-E33, 0)</f>
        <v/>
      </c>
    </row>
    <row r="58" ht="15" customHeight="1" thickBot="1">
      <c r="D58" s="34" t="inlineStr">
        <is>
          <t>R6</t>
        </is>
      </c>
      <c r="E58" s="21">
        <f>IF($C$16+$E$16-$E$34 &gt; 0, $C$16+$E$16-$E$34, 0)</f>
        <v/>
      </c>
      <c r="F58" s="34" t="inlineStr">
        <is>
          <t>R6</t>
        </is>
      </c>
      <c r="G58" s="21">
        <f>IF(E16-E34+G16-G34+C16 &gt; 0, E16-E34+G16-G34+C16, 0)</f>
        <v/>
      </c>
      <c r="H58" s="34" t="inlineStr">
        <is>
          <t>R6</t>
        </is>
      </c>
      <c r="I58" s="21">
        <f>IF(E16-E34+G16-G34+I16-I34+C16 &gt; 0, E16-E34+G16-G34+I16-I34+C16, 0)</f>
        <v/>
      </c>
      <c r="J58" s="34" t="inlineStr">
        <is>
          <t>R6</t>
        </is>
      </c>
      <c r="K58" s="21">
        <f>IF(G16-G34+I16-I34+K16-K34+$C16+E16-E34 &gt; 0, G16-G34+I16-I34+K16-K34+$C16, 0)</f>
        <v/>
      </c>
      <c r="L58" s="34" t="inlineStr">
        <is>
          <t>R6</t>
        </is>
      </c>
      <c r="M58" s="21">
        <f>IF(I16-I34+K16-K34+M16-M34+$C16+G16-G34+E16-E34 &gt; 0, I16-I34+K16-K34+M16-M34+$C16, 0)</f>
        <v/>
      </c>
      <c r="N58" s="34" t="inlineStr">
        <is>
          <t>R6</t>
        </is>
      </c>
      <c r="O58" s="21">
        <f>IF(K16-K34+M16-M34+O16-O34+$C16+I16-I34+G16-G34+E16-E34 &gt; 0,K16-K34+M16-M34+O16-O34+$C16+I16-I34+G16-G34+E16-E34, 0)</f>
        <v/>
      </c>
      <c r="P58" s="34" t="inlineStr">
        <is>
          <t>R6</t>
        </is>
      </c>
      <c r="Q58" s="21">
        <f>IF(M16-M34+O16-O34+Q16-Q34+$C16+K16-K34+I16-I34+G16-G34+E16-E34 &gt; 0,M16-M34+O16-O34+Q16-Q34+$C16+K16-K34+I16-I34+G16-G34+E16-E34, 0)</f>
        <v/>
      </c>
      <c r="R58" s="34" t="inlineStr">
        <is>
          <t>R6</t>
        </is>
      </c>
      <c r="S58" s="21">
        <f>IF(O16-O34+Q16-Q34+S16-S34+$C16+M16-M34+K16-K34+I16-I34+G16-G34+E16-E34 &gt; 0,O16-O34+Q16-Q34+S16-S34+$C16+M16-M34+K16-K34+I16-I34+G16-G34+E16-E34, 0)</f>
        <v/>
      </c>
      <c r="T58" s="34" t="inlineStr">
        <is>
          <t>R6</t>
        </is>
      </c>
      <c r="U58" s="21">
        <f>IF(Q16-Q34+S16-S34+U16-U34+$C16+O16-O34+M16-M34+K16-K34+I16-I34+G16-G34+E16-E34 &gt; 0,Q16-Q34+S16-S34+U16-U34+$C16+O16-O34+M16-M34+K16-K34+I16-I34+G16-G34+E16-E34, 0)</f>
        <v/>
      </c>
    </row>
    <row r="59" ht="18.6" customHeight="1" thickBot="1">
      <c r="D59" s="26" t="inlineStr">
        <is>
          <t>Backlog Cumulé</t>
        </is>
      </c>
      <c r="E59" s="24">
        <f>SUM(E54:E58)</f>
        <v/>
      </c>
      <c r="F59" s="26" t="inlineStr">
        <is>
          <t>Backlog Cumulé</t>
        </is>
      </c>
      <c r="G59" s="24">
        <f>SUM(G54:G58)</f>
        <v/>
      </c>
      <c r="H59" s="26" t="inlineStr">
        <is>
          <t>Backlog Cumulé</t>
        </is>
      </c>
      <c r="I59" s="24">
        <f>SUM(I54:I58)</f>
        <v/>
      </c>
      <c r="J59" s="26" t="inlineStr">
        <is>
          <t>Backlog Cumulé</t>
        </is>
      </c>
      <c r="K59" s="24">
        <f>SUM(K54:K58)</f>
        <v/>
      </c>
      <c r="L59" s="26" t="inlineStr">
        <is>
          <t>Backlog Cumulé</t>
        </is>
      </c>
      <c r="M59" s="24">
        <f>SUM(M54:M58)</f>
        <v/>
      </c>
      <c r="N59" s="26" t="inlineStr">
        <is>
          <t>Backlog Cumulé</t>
        </is>
      </c>
      <c r="O59" s="24">
        <f>SUM(O54:O58)</f>
        <v/>
      </c>
      <c r="P59" s="26" t="inlineStr">
        <is>
          <t>Backlog Cumulé</t>
        </is>
      </c>
      <c r="Q59" s="24">
        <f>SUM(Q54:Q58)</f>
        <v/>
      </c>
      <c r="R59" s="26" t="inlineStr">
        <is>
          <t>Backlog Cumulé</t>
        </is>
      </c>
      <c r="S59" s="24">
        <f>SUM(S54:S58)</f>
        <v/>
      </c>
      <c r="T59" s="26" t="inlineStr">
        <is>
          <t>Backlog Cumulé</t>
        </is>
      </c>
      <c r="U59" s="24">
        <f>SUM(U54:U58)</f>
        <v/>
      </c>
    </row>
    <row r="62" ht="15" customHeight="1" thickBot="1"/>
    <row r="63" ht="15" customHeight="1" thickBot="1">
      <c r="C63" s="70" t="inlineStr">
        <is>
          <t>Stock FG Free %</t>
        </is>
      </c>
      <c r="D63" s="117" t="inlineStr">
        <is>
          <t>W16 Stock FG Free %</t>
        </is>
      </c>
      <c r="E63" s="118" t="n"/>
      <c r="F63" s="117" t="inlineStr">
        <is>
          <t>W17 Stock FG Free %</t>
        </is>
      </c>
      <c r="G63" s="118" t="n"/>
      <c r="H63" s="117" t="inlineStr">
        <is>
          <t>W18 Stock FG Free %</t>
        </is>
      </c>
      <c r="I63" s="118" t="n"/>
      <c r="J63" s="117" t="inlineStr">
        <is>
          <t>W19 Stock FG Free %</t>
        </is>
      </c>
      <c r="K63" s="118" t="n"/>
      <c r="L63" s="117" t="inlineStr">
        <is>
          <t>W20 Stock FG Free %</t>
        </is>
      </c>
      <c r="M63" s="118" t="n"/>
      <c r="N63" s="117" t="inlineStr">
        <is>
          <t>W21 Stock FG Free %</t>
        </is>
      </c>
      <c r="O63" s="118" t="n"/>
      <c r="P63" s="117" t="inlineStr">
        <is>
          <t>W22 Stock FG Free %</t>
        </is>
      </c>
      <c r="Q63" s="118" t="n"/>
      <c r="R63" s="117" t="inlineStr">
        <is>
          <t>W23 Stock FG Free %</t>
        </is>
      </c>
      <c r="S63" s="118" t="n"/>
    </row>
    <row r="64">
      <c r="D64" s="37" t="inlineStr">
        <is>
          <t>L1</t>
        </is>
      </c>
      <c r="E64" s="159" t="inlineStr">
        <is>
          <t>53.45 %</t>
        </is>
      </c>
      <c r="F64" s="37" t="inlineStr">
        <is>
          <t>L1</t>
        </is>
      </c>
      <c r="G64" s="159" t="inlineStr">
        <is>
          <t>42.46 %</t>
        </is>
      </c>
      <c r="H64" s="37" t="inlineStr">
        <is>
          <t>L1</t>
        </is>
      </c>
      <c r="I64" s="159" t="inlineStr">
        <is>
          <t>59.92 %</t>
        </is>
      </c>
      <c r="J64" s="37" t="inlineStr">
        <is>
          <t>L1</t>
        </is>
      </c>
      <c r="K64" s="159" t="inlineStr">
        <is>
          <t>62.02 %</t>
        </is>
      </c>
      <c r="L64" s="37" t="inlineStr">
        <is>
          <t>L1</t>
        </is>
      </c>
      <c r="M64" s="159" t="inlineStr">
        <is>
          <t>0.0 %</t>
        </is>
      </c>
      <c r="N64" s="37" t="inlineStr">
        <is>
          <t>L1</t>
        </is>
      </c>
      <c r="O64" s="159" t="inlineStr">
        <is>
          <t>0.0 %</t>
        </is>
      </c>
      <c r="P64" s="37" t="inlineStr">
        <is>
          <t>L1</t>
        </is>
      </c>
      <c r="Q64" s="159" t="inlineStr">
        <is>
          <t>0.0 %</t>
        </is>
      </c>
      <c r="R64" s="37" t="inlineStr">
        <is>
          <t>L1</t>
        </is>
      </c>
      <c r="S64" s="159" t="inlineStr">
        <is>
          <t>0.0 %</t>
        </is>
      </c>
    </row>
    <row r="65">
      <c r="D65" s="33" t="inlineStr">
        <is>
          <t>LAS1,</t>
        </is>
      </c>
      <c r="E65" s="159" t="inlineStr">
        <is>
          <t>17.37 %</t>
        </is>
      </c>
      <c r="F65" s="33" t="inlineStr">
        <is>
          <t>LAS1,</t>
        </is>
      </c>
      <c r="G65" s="159" t="inlineStr">
        <is>
          <t>0.0 %</t>
        </is>
      </c>
      <c r="H65" s="33" t="inlineStr">
        <is>
          <t>LAS1,</t>
        </is>
      </c>
      <c r="I65" s="159" t="inlineStr">
        <is>
          <t>0.0 %</t>
        </is>
      </c>
      <c r="J65" s="33" t="inlineStr">
        <is>
          <t>LAS1,</t>
        </is>
      </c>
      <c r="K65" s="159" t="inlineStr">
        <is>
          <t>32.47 %</t>
        </is>
      </c>
      <c r="L65" s="33" t="inlineStr">
        <is>
          <t>LAS1,</t>
        </is>
      </c>
      <c r="M65" s="159" t="inlineStr">
        <is>
          <t>0.0 %</t>
        </is>
      </c>
      <c r="N65" s="33" t="inlineStr">
        <is>
          <t>LAS1,</t>
        </is>
      </c>
      <c r="O65" s="159" t="inlineStr">
        <is>
          <t>0.0 %</t>
        </is>
      </c>
      <c r="P65" s="33" t="inlineStr">
        <is>
          <t>LAS1,</t>
        </is>
      </c>
      <c r="Q65" s="159" t="inlineStr">
        <is>
          <t>0.0 %</t>
        </is>
      </c>
      <c r="R65" s="33" t="inlineStr">
        <is>
          <t>LAS1,</t>
        </is>
      </c>
      <c r="S65" s="159" t="inlineStr">
        <is>
          <t>0.0 %</t>
        </is>
      </c>
    </row>
    <row r="66">
      <c r="D66" s="33" t="inlineStr">
        <is>
          <t>P3</t>
        </is>
      </c>
      <c r="E66" s="159" t="inlineStr">
        <is>
          <t>21.22 %</t>
        </is>
      </c>
      <c r="F66" s="33" t="inlineStr">
        <is>
          <t>P3</t>
        </is>
      </c>
      <c r="G66" s="159" t="inlineStr">
        <is>
          <t>8.51 %</t>
        </is>
      </c>
      <c r="H66" s="33" t="inlineStr">
        <is>
          <t>P3</t>
        </is>
      </c>
      <c r="I66" s="159" t="inlineStr">
        <is>
          <t>3.62 %</t>
        </is>
      </c>
      <c r="J66" s="33" t="inlineStr">
        <is>
          <t>P3</t>
        </is>
      </c>
      <c r="K66" s="159" t="inlineStr">
        <is>
          <t>7.76 %</t>
        </is>
      </c>
      <c r="L66" s="33" t="inlineStr">
        <is>
          <t>P3</t>
        </is>
      </c>
      <c r="M66" s="159" t="inlineStr">
        <is>
          <t>0.0 %</t>
        </is>
      </c>
      <c r="N66" s="33" t="inlineStr">
        <is>
          <t>P3</t>
        </is>
      </c>
      <c r="O66" s="159" t="inlineStr">
        <is>
          <t>0.0 %</t>
        </is>
      </c>
      <c r="P66" s="33" t="inlineStr">
        <is>
          <t>P3</t>
        </is>
      </c>
      <c r="Q66" s="159" t="inlineStr">
        <is>
          <t>0.0 %</t>
        </is>
      </c>
      <c r="R66" s="33" t="inlineStr">
        <is>
          <t>P3</t>
        </is>
      </c>
      <c r="S66" s="159" t="inlineStr">
        <is>
          <t>0.0 %</t>
        </is>
      </c>
    </row>
    <row r="67">
      <c r="D67" s="33" t="inlineStr">
        <is>
          <t>R1</t>
        </is>
      </c>
      <c r="E67" s="160" t="inlineStr">
        <is>
          <t>97.24 %</t>
        </is>
      </c>
      <c r="F67" s="33" t="inlineStr">
        <is>
          <t>R1</t>
        </is>
      </c>
      <c r="G67" s="160" t="inlineStr">
        <is>
          <t>94.4 %</t>
        </is>
      </c>
      <c r="H67" s="33" t="inlineStr">
        <is>
          <t>R1</t>
        </is>
      </c>
      <c r="I67" s="160" t="inlineStr">
        <is>
          <t>111.97 %</t>
        </is>
      </c>
      <c r="J67" s="33" t="inlineStr">
        <is>
          <t>R1</t>
        </is>
      </c>
      <c r="K67" s="160" t="inlineStr">
        <is>
          <t>91.39 %</t>
        </is>
      </c>
      <c r="L67" s="33" t="inlineStr">
        <is>
          <t>R1</t>
        </is>
      </c>
      <c r="M67" s="159" t="inlineStr">
        <is>
          <t>0.0 %</t>
        </is>
      </c>
      <c r="N67" s="33" t="inlineStr">
        <is>
          <t>R1</t>
        </is>
      </c>
      <c r="O67" s="159" t="inlineStr">
        <is>
          <t>0.0 %</t>
        </is>
      </c>
      <c r="P67" s="33" t="inlineStr">
        <is>
          <t>R1</t>
        </is>
      </c>
      <c r="Q67" s="159" t="inlineStr">
        <is>
          <t>0.0 %</t>
        </is>
      </c>
      <c r="R67" s="33" t="inlineStr">
        <is>
          <t>R1</t>
        </is>
      </c>
      <c r="S67" s="159" t="inlineStr">
        <is>
          <t>0.0 %</t>
        </is>
      </c>
    </row>
    <row r="68" ht="15" customHeight="1" thickBot="1">
      <c r="D68" s="34" t="inlineStr">
        <is>
          <t>R6</t>
        </is>
      </c>
      <c r="E68" s="159" t="inlineStr">
        <is>
          <t>77.62 %</t>
        </is>
      </c>
      <c r="F68" s="34" t="inlineStr">
        <is>
          <t>R6</t>
        </is>
      </c>
      <c r="G68" s="159" t="inlineStr">
        <is>
          <t>67.83 %</t>
        </is>
      </c>
      <c r="H68" s="34" t="inlineStr">
        <is>
          <t>R6</t>
        </is>
      </c>
      <c r="I68" s="159" t="inlineStr">
        <is>
          <t>56.46 %</t>
        </is>
      </c>
      <c r="J68" s="34" t="inlineStr">
        <is>
          <t>R6</t>
        </is>
      </c>
      <c r="K68" s="159" t="inlineStr">
        <is>
          <t>49.84 %</t>
        </is>
      </c>
      <c r="L68" s="34" t="inlineStr">
        <is>
          <t>R6</t>
        </is>
      </c>
      <c r="M68" s="159" t="inlineStr">
        <is>
          <t>0.0 %</t>
        </is>
      </c>
      <c r="N68" s="34" t="inlineStr">
        <is>
          <t>R6</t>
        </is>
      </c>
      <c r="O68" s="159" t="inlineStr">
        <is>
          <t>0.0 %</t>
        </is>
      </c>
      <c r="P68" s="34" t="inlineStr">
        <is>
          <t>R6</t>
        </is>
      </c>
      <c r="Q68" s="159" t="inlineStr">
        <is>
          <t>0.0 %</t>
        </is>
      </c>
      <c r="R68" s="34" t="inlineStr">
        <is>
          <t>R6</t>
        </is>
      </c>
      <c r="S68" s="159" t="inlineStr">
        <is>
          <t>0.0 %</t>
        </is>
      </c>
    </row>
    <row r="69" ht="18.6" customHeight="1" thickBot="1">
      <c r="D69" s="26" t="inlineStr">
        <is>
          <t>Total</t>
        </is>
      </c>
      <c r="E69" s="161" t="inlineStr">
        <is>
          <t>66.72 %</t>
        </is>
      </c>
      <c r="F69" s="26" t="inlineStr">
        <is>
          <t>Total</t>
        </is>
      </c>
      <c r="G69" s="161" t="inlineStr">
        <is>
          <t>53.3 %</t>
        </is>
      </c>
      <c r="H69" s="26" t="inlineStr">
        <is>
          <t>Total</t>
        </is>
      </c>
      <c r="I69" s="161" t="inlineStr">
        <is>
          <t>57.99 %</t>
        </is>
      </c>
      <c r="J69" s="26" t="inlineStr">
        <is>
          <t>Total</t>
        </is>
      </c>
      <c r="K69" s="161" t="inlineStr">
        <is>
          <t>60.87 %</t>
        </is>
      </c>
      <c r="L69" s="26" t="inlineStr">
        <is>
          <t>Total</t>
        </is>
      </c>
      <c r="M69" s="161" t="inlineStr">
        <is>
          <t>0.0 %</t>
        </is>
      </c>
      <c r="N69" s="26" t="inlineStr">
        <is>
          <t>Total</t>
        </is>
      </c>
      <c r="O69" s="161" t="inlineStr">
        <is>
          <t>0.0 %</t>
        </is>
      </c>
      <c r="P69" s="26" t="inlineStr">
        <is>
          <t>Total</t>
        </is>
      </c>
      <c r="Q69" s="161" t="inlineStr">
        <is>
          <t>0.0 %</t>
        </is>
      </c>
      <c r="R69" s="26" t="inlineStr">
        <is>
          <t>Total</t>
        </is>
      </c>
      <c r="S69" s="161" t="inlineStr">
        <is>
          <t>0.0 %</t>
        </is>
      </c>
    </row>
    <row r="71" ht="15" customHeight="1" thickBot="1"/>
    <row r="72" ht="15" customHeight="1" thickBot="1">
      <c r="C72" s="71" t="inlineStr">
        <is>
          <t>Tonnes exceptionelles</t>
        </is>
      </c>
      <c r="D72" s="158" t="inlineStr">
        <is>
          <t>W15 Tonnes exceptionelles</t>
        </is>
      </c>
      <c r="E72" s="137" t="n"/>
      <c r="F72" s="158" t="inlineStr">
        <is>
          <t>W16 Tonnes exceptionelles</t>
        </is>
      </c>
      <c r="G72" s="137" t="n"/>
      <c r="H72" s="158" t="inlineStr">
        <is>
          <t>W17 Tonnes exceptionelles</t>
        </is>
      </c>
      <c r="I72" s="137" t="n"/>
      <c r="J72" s="158" t="inlineStr">
        <is>
          <t>W18 Tonnes exceptionelles</t>
        </is>
      </c>
      <c r="K72" s="137" t="n"/>
      <c r="L72" s="139" t="inlineStr">
        <is>
          <t>W19 Tonnes exceptionelles</t>
        </is>
      </c>
      <c r="M72" s="140" t="n"/>
      <c r="N72" s="139" t="inlineStr">
        <is>
          <t>W20 Tonnes exceptionelles</t>
        </is>
      </c>
      <c r="O72" s="140" t="n"/>
      <c r="P72" s="158" t="inlineStr">
        <is>
          <t>W21 Tonnes exceptionelles</t>
        </is>
      </c>
      <c r="Q72" s="137" t="n"/>
      <c r="R72" s="158" t="inlineStr">
        <is>
          <t>W22 Tonnes exceptionelles</t>
        </is>
      </c>
      <c r="S72" s="137" t="n"/>
      <c r="T72" s="139" t="inlineStr">
        <is>
          <t>W23 Tonnes exceptionelles</t>
        </is>
      </c>
      <c r="U72" s="140" t="n"/>
    </row>
    <row r="73" ht="15" customHeight="1" thickBot="1">
      <c r="A73" s="63" t="inlineStr">
        <is>
          <t>L1</t>
        </is>
      </c>
      <c r="C73" s="73" t="n"/>
      <c r="D73" s="123" t="n"/>
      <c r="E73" s="118" t="n"/>
      <c r="F73" s="123" t="n"/>
      <c r="G73" s="118" t="n"/>
      <c r="H73" s="119" t="n"/>
      <c r="I73" s="120" t="n"/>
      <c r="J73" s="123" t="n"/>
      <c r="K73" s="118" t="n"/>
      <c r="L73" s="124" t="n"/>
      <c r="M73" s="118" t="n"/>
      <c r="N73" s="125" t="n"/>
      <c r="O73" s="120" t="n"/>
      <c r="P73" s="119" t="n"/>
      <c r="Q73" s="120" t="n"/>
      <c r="R73" s="123" t="n"/>
      <c r="S73" s="118" t="n"/>
      <c r="T73" s="124" t="n">
        <v>0</v>
      </c>
      <c r="U73" s="118" t="n"/>
    </row>
    <row r="74" ht="15" customHeight="1">
      <c r="A74" s="65" t="inlineStr">
        <is>
          <t>Série</t>
        </is>
      </c>
      <c r="C74" s="67" t="n">
        <v>5.43</v>
      </c>
      <c r="D74" s="132" t="n">
        <v>0</v>
      </c>
      <c r="E74" s="122" t="n"/>
      <c r="F74" s="132" t="n"/>
      <c r="G74" s="122" t="n"/>
      <c r="H74" s="135" t="n"/>
      <c r="J74" s="132" t="n"/>
      <c r="K74" s="122" t="n"/>
      <c r="L74" s="121" t="n"/>
      <c r="M74" s="122" t="n"/>
      <c r="N74" s="133" t="n"/>
      <c r="P74" s="135" t="n"/>
      <c r="R74" s="132" t="n"/>
      <c r="S74" s="122" t="n"/>
      <c r="T74" s="121" t="n">
        <v>0</v>
      </c>
      <c r="U74" s="122" t="n"/>
    </row>
    <row r="75" ht="15" customHeight="1" thickBot="1">
      <c r="A75" s="65" t="inlineStr">
        <is>
          <t>Proto</t>
        </is>
      </c>
      <c r="C75" s="68" t="n">
        <v>2.9</v>
      </c>
      <c r="D75" s="126" t="n">
        <v>0</v>
      </c>
      <c r="E75" s="127" t="n"/>
      <c r="F75" s="126" t="n"/>
      <c r="G75" s="127" t="n"/>
      <c r="H75" s="131" t="n"/>
      <c r="I75" s="130" t="n"/>
      <c r="J75" s="126" t="n"/>
      <c r="K75" s="127" t="n"/>
      <c r="L75" s="128" t="n"/>
      <c r="M75" s="127" t="n"/>
      <c r="N75" s="129" t="n"/>
      <c r="O75" s="130" t="n"/>
      <c r="P75" s="131" t="n"/>
      <c r="Q75" s="130" t="n"/>
      <c r="R75" s="126" t="n"/>
      <c r="S75" s="127" t="n"/>
      <c r="T75" s="128" t="n">
        <v>0</v>
      </c>
      <c r="U75" s="127" t="n"/>
    </row>
    <row r="76" ht="15" customHeight="1" thickBot="1">
      <c r="A76" s="64" t="inlineStr">
        <is>
          <t>LAS1</t>
        </is>
      </c>
      <c r="C76" s="73" t="n"/>
      <c r="D76" s="123" t="n"/>
      <c r="E76" s="118" t="n"/>
      <c r="F76" s="123" t="n"/>
      <c r="G76" s="118" t="n"/>
      <c r="H76" s="119" t="n"/>
      <c r="I76" s="120" t="n"/>
      <c r="J76" s="123" t="n"/>
      <c r="K76" s="118" t="n"/>
      <c r="L76" s="124" t="n"/>
      <c r="M76" s="118" t="n"/>
      <c r="N76" s="125" t="n"/>
      <c r="O76" s="120" t="n"/>
      <c r="P76" s="119" t="n"/>
      <c r="Q76" s="120" t="n"/>
      <c r="R76" s="123" t="n"/>
      <c r="S76" s="118" t="n"/>
      <c r="T76" s="124" t="n">
        <v>0</v>
      </c>
      <c r="U76" s="118" t="n"/>
    </row>
    <row r="77" ht="15" customHeight="1">
      <c r="A77" s="65" t="inlineStr">
        <is>
          <t>Série</t>
        </is>
      </c>
      <c r="C77" s="67" t="n">
        <v>0.42</v>
      </c>
      <c r="D77" s="132" t="n">
        <v>0</v>
      </c>
      <c r="E77" s="122" t="n"/>
      <c r="F77" s="132" t="n"/>
      <c r="G77" s="122" t="n"/>
      <c r="H77" s="135" t="n"/>
      <c r="J77" s="132" t="n"/>
      <c r="K77" s="122" t="n"/>
      <c r="L77" s="121" t="n"/>
      <c r="M77" s="122" t="n"/>
      <c r="N77" s="133" t="n"/>
      <c r="P77" s="135" t="n"/>
      <c r="R77" s="132" t="n"/>
      <c r="S77" s="122" t="n"/>
      <c r="T77" s="121" t="n">
        <v>0</v>
      </c>
      <c r="U77" s="122" t="n"/>
    </row>
    <row r="78" ht="15" customHeight="1" thickBot="1">
      <c r="A78" s="65" t="inlineStr">
        <is>
          <t>Proto</t>
        </is>
      </c>
      <c r="C78" s="68" t="n">
        <v>0.29</v>
      </c>
      <c r="D78" s="126" t="n">
        <v>0</v>
      </c>
      <c r="E78" s="127" t="n"/>
      <c r="F78" s="126" t="n"/>
      <c r="G78" s="127" t="n"/>
      <c r="H78" s="131" t="n"/>
      <c r="I78" s="130" t="n"/>
      <c r="J78" s="126" t="n"/>
      <c r="K78" s="127" t="n"/>
      <c r="L78" s="128" t="n"/>
      <c r="M78" s="127" t="n"/>
      <c r="N78" s="129" t="n"/>
      <c r="O78" s="130" t="n"/>
      <c r="P78" s="131" t="n"/>
      <c r="Q78" s="130" t="n"/>
      <c r="R78" s="126" t="n"/>
      <c r="S78" s="127" t="n"/>
      <c r="T78" s="128" t="n">
        <v>0</v>
      </c>
      <c r="U78" s="127" t="n"/>
    </row>
    <row r="79" ht="15" customHeight="1" thickBot="1">
      <c r="A79" s="64" t="inlineStr">
        <is>
          <t>P3</t>
        </is>
      </c>
      <c r="C79" s="73" t="n"/>
      <c r="D79" s="123" t="n"/>
      <c r="E79" s="118" t="n"/>
      <c r="F79" s="123" t="n"/>
      <c r="G79" s="118" t="n"/>
      <c r="H79" s="119" t="n"/>
      <c r="I79" s="120" t="n"/>
      <c r="J79" s="123" t="n"/>
      <c r="K79" s="118" t="n"/>
      <c r="L79" s="124" t="n"/>
      <c r="M79" s="118" t="n"/>
      <c r="N79" s="125" t="n"/>
      <c r="O79" s="120" t="n"/>
      <c r="P79" s="119" t="n"/>
      <c r="Q79" s="120" t="n"/>
      <c r="R79" s="123" t="n"/>
      <c r="S79" s="118" t="n"/>
      <c r="T79" s="124" t="n">
        <v>0</v>
      </c>
      <c r="U79" s="118" t="n"/>
    </row>
    <row r="80" ht="15" customHeight="1">
      <c r="A80" s="65" t="inlineStr">
        <is>
          <t>Série</t>
        </is>
      </c>
      <c r="C80" s="67" t="n">
        <v>1.69</v>
      </c>
      <c r="D80" s="132" t="n">
        <v>0</v>
      </c>
      <c r="E80" s="122" t="n"/>
      <c r="F80" s="132" t="n"/>
      <c r="G80" s="122" t="n"/>
      <c r="H80" s="135" t="n"/>
      <c r="J80" s="132" t="n"/>
      <c r="K80" s="122" t="n"/>
      <c r="L80" s="121" t="n"/>
      <c r="M80" s="122" t="n"/>
      <c r="N80" s="133" t="n"/>
      <c r="P80" s="135" t="n"/>
      <c r="R80" s="132" t="n"/>
      <c r="S80" s="122" t="n"/>
      <c r="T80" s="121" t="n">
        <v>0</v>
      </c>
      <c r="U80" s="122" t="n"/>
    </row>
    <row r="81" ht="15" customHeight="1" thickBot="1">
      <c r="A81" s="65" t="inlineStr">
        <is>
          <t>Proto</t>
        </is>
      </c>
      <c r="C81" s="68" t="n">
        <v>1.16</v>
      </c>
      <c r="D81" s="126" t="n">
        <v>0</v>
      </c>
      <c r="E81" s="127" t="n"/>
      <c r="F81" s="126" t="n"/>
      <c r="G81" s="127" t="n"/>
      <c r="H81" s="131" t="n"/>
      <c r="I81" s="130" t="n"/>
      <c r="J81" s="126" t="n"/>
      <c r="K81" s="127" t="n"/>
      <c r="L81" s="128" t="n"/>
      <c r="M81" s="127" t="n"/>
      <c r="N81" s="129" t="n"/>
      <c r="O81" s="130" t="n"/>
      <c r="P81" s="131" t="n"/>
      <c r="Q81" s="130" t="n"/>
      <c r="R81" s="126" t="n"/>
      <c r="S81" s="127" t="n"/>
      <c r="T81" s="128" t="n">
        <v>0</v>
      </c>
      <c r="U81" s="127" t="n"/>
    </row>
    <row r="82" ht="15" customHeight="1" thickBot="1">
      <c r="A82" s="64" t="inlineStr">
        <is>
          <t>R1</t>
        </is>
      </c>
      <c r="C82" s="73" t="n"/>
      <c r="D82" s="123" t="n"/>
      <c r="E82" s="118" t="n"/>
      <c r="F82" s="123" t="n"/>
      <c r="G82" s="118" t="n"/>
      <c r="H82" s="119" t="n"/>
      <c r="I82" s="120" t="n"/>
      <c r="J82" s="123" t="n"/>
      <c r="K82" s="118" t="n"/>
      <c r="L82" s="124" t="n"/>
      <c r="M82" s="118" t="n"/>
      <c r="N82" s="125" t="n"/>
      <c r="O82" s="120" t="n"/>
      <c r="P82" s="119" t="n"/>
      <c r="Q82" s="120" t="n"/>
      <c r="R82" s="123" t="n"/>
      <c r="S82" s="118" t="n"/>
      <c r="T82" s="124" t="n">
        <v>0</v>
      </c>
      <c r="U82" s="118" t="n"/>
    </row>
    <row r="83" ht="15" customHeight="1">
      <c r="A83" s="65" t="inlineStr">
        <is>
          <t>Série</t>
        </is>
      </c>
      <c r="C83" s="67" t="n">
        <v>16.67</v>
      </c>
      <c r="D83" s="132" t="n">
        <v>0</v>
      </c>
      <c r="E83" s="122" t="n"/>
      <c r="F83" s="132" t="n"/>
      <c r="G83" s="122" t="n"/>
      <c r="H83" s="135" t="n"/>
      <c r="J83" s="132" t="n"/>
      <c r="K83" s="122" t="n"/>
      <c r="L83" s="121" t="n"/>
      <c r="M83" s="122" t="n"/>
      <c r="N83" s="133" t="n"/>
      <c r="P83" s="135" t="n"/>
      <c r="R83" s="132" t="n"/>
      <c r="S83" s="122" t="n"/>
      <c r="T83" s="121" t="n">
        <v>0</v>
      </c>
      <c r="U83" s="122" t="n"/>
    </row>
    <row r="84" ht="15" customHeight="1" thickBot="1">
      <c r="A84" s="65" t="inlineStr">
        <is>
          <t>Proto</t>
        </is>
      </c>
      <c r="C84" s="68" t="n">
        <v>8.210000000000001</v>
      </c>
      <c r="D84" s="126" t="n">
        <v>0</v>
      </c>
      <c r="E84" s="127" t="n"/>
      <c r="F84" s="126" t="n"/>
      <c r="G84" s="127" t="n"/>
      <c r="H84" s="131" t="n"/>
      <c r="I84" s="130" t="n"/>
      <c r="J84" s="126" t="n"/>
      <c r="K84" s="127" t="n"/>
      <c r="L84" s="128" t="n"/>
      <c r="M84" s="127" t="n"/>
      <c r="N84" s="129" t="n"/>
      <c r="O84" s="130" t="n"/>
      <c r="P84" s="131" t="n"/>
      <c r="Q84" s="130" t="n"/>
      <c r="R84" s="126" t="n"/>
      <c r="S84" s="127" t="n"/>
      <c r="T84" s="128" t="n">
        <v>0</v>
      </c>
      <c r="U84" s="127" t="n"/>
    </row>
    <row r="85" ht="15" customHeight="1" thickBot="1">
      <c r="A85" s="64" t="inlineStr">
        <is>
          <t>R6</t>
        </is>
      </c>
      <c r="C85" s="73" t="n"/>
      <c r="D85" s="123" t="n"/>
      <c r="E85" s="118" t="n"/>
      <c r="F85" s="123" t="n"/>
      <c r="G85" s="118" t="n"/>
      <c r="H85" s="119" t="n"/>
      <c r="I85" s="120" t="n"/>
      <c r="J85" s="123" t="n"/>
      <c r="K85" s="118" t="n"/>
      <c r="L85" s="124" t="n"/>
      <c r="M85" s="118" t="n"/>
      <c r="N85" s="125" t="n"/>
      <c r="O85" s="120" t="n"/>
      <c r="P85" s="119" t="n"/>
      <c r="Q85" s="120" t="n"/>
      <c r="R85" s="123" t="n"/>
      <c r="S85" s="118" t="n"/>
      <c r="T85" s="124" t="n">
        <v>0</v>
      </c>
      <c r="U85" s="118" t="n"/>
    </row>
    <row r="86" ht="15" customHeight="1">
      <c r="A86" s="65" t="inlineStr">
        <is>
          <t>Série</t>
        </is>
      </c>
      <c r="C86" s="67" t="n">
        <v>25</v>
      </c>
      <c r="D86" s="132" t="n">
        <v>0</v>
      </c>
      <c r="E86" s="122" t="n"/>
      <c r="F86" s="132" t="n"/>
      <c r="G86" s="122" t="n"/>
      <c r="H86" s="135" t="n"/>
      <c r="J86" s="132" t="n"/>
      <c r="K86" s="122" t="n"/>
      <c r="L86" s="121" t="n"/>
      <c r="M86" s="122" t="n"/>
      <c r="N86" s="133" t="n"/>
      <c r="P86" s="135" t="n"/>
      <c r="R86" s="132" t="n"/>
      <c r="S86" s="122" t="n"/>
      <c r="T86" s="121" t="n">
        <v>0</v>
      </c>
      <c r="U86" s="122" t="n"/>
    </row>
    <row r="87" ht="15" customHeight="1" thickBot="1">
      <c r="A87" s="66" t="inlineStr">
        <is>
          <t>Proto</t>
        </is>
      </c>
      <c r="C87" s="68" t="n">
        <v>10</v>
      </c>
      <c r="D87" s="126" t="n">
        <v>0</v>
      </c>
      <c r="E87" s="127" t="n"/>
      <c r="F87" s="126" t="n"/>
      <c r="G87" s="127" t="n"/>
      <c r="H87" s="131" t="n"/>
      <c r="I87" s="130" t="n"/>
      <c r="J87" s="126" t="n"/>
      <c r="K87" s="127" t="n"/>
      <c r="L87" s="128" t="n"/>
      <c r="M87" s="127" t="n"/>
      <c r="N87" s="129" t="n"/>
      <c r="O87" s="130" t="n"/>
      <c r="P87" s="131" t="n"/>
      <c r="Q87" s="130" t="n"/>
      <c r="R87" s="126" t="n"/>
      <c r="S87" s="127" t="n"/>
      <c r="T87" s="128" t="n">
        <v>0</v>
      </c>
      <c r="U87" s="127" t="n"/>
    </row>
    <row r="88" ht="15" customHeight="1" thickBot="1">
      <c r="C88" s="72" t="inlineStr">
        <is>
          <t>Prod Moyenne T/h</t>
        </is>
      </c>
    </row>
  </sheetData>
  <mergeCells count="198">
    <mergeCell ref="L2:M2"/>
    <mergeCell ref="H53:I53"/>
    <mergeCell ref="T77:U77"/>
    <mergeCell ref="J82:K82"/>
    <mergeCell ref="H82:I82"/>
    <mergeCell ref="L82:M82"/>
    <mergeCell ref="F29:G29"/>
    <mergeCell ref="N76:O76"/>
    <mergeCell ref="P76:Q76"/>
    <mergeCell ref="N85:O85"/>
    <mergeCell ref="P85:Q85"/>
    <mergeCell ref="D84:E84"/>
    <mergeCell ref="F84:G84"/>
    <mergeCell ref="L75:M75"/>
    <mergeCell ref="L53:M53"/>
    <mergeCell ref="N75:O75"/>
    <mergeCell ref="N53:O53"/>
    <mergeCell ref="P84:Q84"/>
    <mergeCell ref="R84:S84"/>
    <mergeCell ref="R78:S78"/>
    <mergeCell ref="D77:E77"/>
    <mergeCell ref="T78:U78"/>
    <mergeCell ref="D86:E86"/>
    <mergeCell ref="N77:O77"/>
    <mergeCell ref="F86:G86"/>
    <mergeCell ref="J53:K53"/>
    <mergeCell ref="F80:G80"/>
    <mergeCell ref="P80:Q80"/>
    <mergeCell ref="R80:S80"/>
    <mergeCell ref="T80:U80"/>
    <mergeCell ref="F79:G79"/>
    <mergeCell ref="H79:I79"/>
    <mergeCell ref="J86:K86"/>
    <mergeCell ref="L29:M29"/>
    <mergeCell ref="D72:E72"/>
    <mergeCell ref="D78:E78"/>
    <mergeCell ref="N29:O29"/>
    <mergeCell ref="F72:G72"/>
    <mergeCell ref="L38:M38"/>
    <mergeCell ref="N38:O38"/>
    <mergeCell ref="H72:I72"/>
    <mergeCell ref="F81:G81"/>
    <mergeCell ref="H81:I81"/>
    <mergeCell ref="L79:M79"/>
    <mergeCell ref="N87:O87"/>
    <mergeCell ref="P87:Q87"/>
    <mergeCell ref="J21:K21"/>
    <mergeCell ref="L72:M72"/>
    <mergeCell ref="T81:U81"/>
    <mergeCell ref="L21:M21"/>
    <mergeCell ref="H87:I87"/>
    <mergeCell ref="L81:M81"/>
    <mergeCell ref="D73:E73"/>
    <mergeCell ref="N79:O79"/>
    <mergeCell ref="P79:Q79"/>
    <mergeCell ref="P73:Q73"/>
    <mergeCell ref="R73:S73"/>
    <mergeCell ref="J73:K73"/>
    <mergeCell ref="R82:S82"/>
    <mergeCell ref="N63:O63"/>
    <mergeCell ref="T82:U82"/>
    <mergeCell ref="P63:Q63"/>
    <mergeCell ref="F63:G63"/>
    <mergeCell ref="H63:I63"/>
    <mergeCell ref="R63:S63"/>
    <mergeCell ref="F74:G74"/>
    <mergeCell ref="T53:U53"/>
    <mergeCell ref="H74:I74"/>
    <mergeCell ref="F83:G83"/>
    <mergeCell ref="H83:I83"/>
    <mergeCell ref="B2:C2"/>
    <mergeCell ref="J77:K77"/>
    <mergeCell ref="D2:E2"/>
    <mergeCell ref="D76:E76"/>
    <mergeCell ref="N2:O2"/>
    <mergeCell ref="F76:G76"/>
    <mergeCell ref="P2:Q2"/>
    <mergeCell ref="F85:G85"/>
    <mergeCell ref="J83:K83"/>
    <mergeCell ref="H85:I85"/>
    <mergeCell ref="L83:M83"/>
    <mergeCell ref="D75:E75"/>
    <mergeCell ref="P77:Q77"/>
    <mergeCell ref="D53:E53"/>
    <mergeCell ref="F75:G75"/>
    <mergeCell ref="P86:Q86"/>
    <mergeCell ref="R86:S86"/>
    <mergeCell ref="T2:U2"/>
    <mergeCell ref="J85:K85"/>
    <mergeCell ref="L85:M85"/>
    <mergeCell ref="H75:I75"/>
    <mergeCell ref="J75:K75"/>
    <mergeCell ref="H80:I80"/>
    <mergeCell ref="L84:M84"/>
    <mergeCell ref="T75:U75"/>
    <mergeCell ref="N84:O84"/>
    <mergeCell ref="N78:O78"/>
    <mergeCell ref="P78:Q78"/>
    <mergeCell ref="R72:S72"/>
    <mergeCell ref="T72:U72"/>
    <mergeCell ref="R81:S81"/>
    <mergeCell ref="T86:U86"/>
    <mergeCell ref="D29:E29"/>
    <mergeCell ref="D38:E38"/>
    <mergeCell ref="L80:M80"/>
    <mergeCell ref="N80:O80"/>
    <mergeCell ref="D79:E79"/>
    <mergeCell ref="F73:G73"/>
    <mergeCell ref="F87:G87"/>
    <mergeCell ref="J29:K29"/>
    <mergeCell ref="H38:I38"/>
    <mergeCell ref="J81:K81"/>
    <mergeCell ref="J38:K38"/>
    <mergeCell ref="D63:E63"/>
    <mergeCell ref="T29:U29"/>
    <mergeCell ref="D81:E81"/>
    <mergeCell ref="T38:U38"/>
    <mergeCell ref="F21:G21"/>
    <mergeCell ref="H21:I21"/>
    <mergeCell ref="H73:I73"/>
    <mergeCell ref="R74:S74"/>
    <mergeCell ref="T74:U74"/>
    <mergeCell ref="J74:K74"/>
    <mergeCell ref="R83:S83"/>
    <mergeCell ref="L74:M74"/>
    <mergeCell ref="T83:U83"/>
    <mergeCell ref="F2:G2"/>
    <mergeCell ref="N82:O82"/>
    <mergeCell ref="H2:I2"/>
    <mergeCell ref="P82:Q82"/>
    <mergeCell ref="R76:S76"/>
    <mergeCell ref="T76:U76"/>
    <mergeCell ref="R85:S85"/>
    <mergeCell ref="L76:M76"/>
    <mergeCell ref="T85:U85"/>
    <mergeCell ref="H84:I84"/>
    <mergeCell ref="P75:Q75"/>
    <mergeCell ref="P53:Q53"/>
    <mergeCell ref="R75:S75"/>
    <mergeCell ref="R53:S53"/>
    <mergeCell ref="T84:U84"/>
    <mergeCell ref="D83:E83"/>
    <mergeCell ref="F77:G77"/>
    <mergeCell ref="H77:I77"/>
    <mergeCell ref="H86:I86"/>
    <mergeCell ref="J2:K2"/>
    <mergeCell ref="R77:S77"/>
    <mergeCell ref="D85:E85"/>
    <mergeCell ref="L77:M77"/>
    <mergeCell ref="L86:M86"/>
    <mergeCell ref="N86:O86"/>
    <mergeCell ref="P29:Q29"/>
    <mergeCell ref="F78:G78"/>
    <mergeCell ref="R29:S29"/>
    <mergeCell ref="P38:Q38"/>
    <mergeCell ref="H29:I29"/>
    <mergeCell ref="J72:K72"/>
    <mergeCell ref="R38:S38"/>
    <mergeCell ref="H78:I78"/>
    <mergeCell ref="D80:E80"/>
    <mergeCell ref="R79:S79"/>
    <mergeCell ref="J84:K84"/>
    <mergeCell ref="J78:K78"/>
    <mergeCell ref="R87:S87"/>
    <mergeCell ref="D21:E21"/>
    <mergeCell ref="L78:M78"/>
    <mergeCell ref="T87:U87"/>
    <mergeCell ref="N72:O72"/>
    <mergeCell ref="J87:K87"/>
    <mergeCell ref="N21:O21"/>
    <mergeCell ref="P72:Q72"/>
    <mergeCell ref="N81:O81"/>
    <mergeCell ref="P21:Q21"/>
    <mergeCell ref="L87:M87"/>
    <mergeCell ref="P81:Q81"/>
    <mergeCell ref="J80:K80"/>
    <mergeCell ref="R21:S21"/>
    <mergeCell ref="T79:U79"/>
    <mergeCell ref="J79:K79"/>
    <mergeCell ref="T21:U21"/>
    <mergeCell ref="T73:U73"/>
    <mergeCell ref="L73:M73"/>
    <mergeCell ref="D87:E87"/>
    <mergeCell ref="N73:O73"/>
    <mergeCell ref="F38:G38"/>
    <mergeCell ref="J63:K63"/>
    <mergeCell ref="L63:M63"/>
    <mergeCell ref="D74:E74"/>
    <mergeCell ref="D82:E82"/>
    <mergeCell ref="F82:G82"/>
    <mergeCell ref="H76:I76"/>
    <mergeCell ref="R2:S2"/>
    <mergeCell ref="J76:K76"/>
    <mergeCell ref="N74:O74"/>
    <mergeCell ref="P74:Q74"/>
    <mergeCell ref="N83:O83"/>
    <mergeCell ref="P83:Q83"/>
    <mergeCell ref="F53:G53"/>
  </mergeCells>
  <conditionalFormatting sqref="D23:U27">
    <cfRule type="cellIs" priority="22" operator="lessThan" dxfId="1">
      <formula>0</formula>
    </cfRule>
    <cfRule type="cellIs" priority="23" operator="greaterThanOrEqual" dxfId="0">
      <formula>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C5" r:id="rId2"/>
    <hyperlink xmlns:r="http://schemas.openxmlformats.org/officeDocument/2006/relationships" ref="D5" r:id="rId3"/>
    <hyperlink xmlns:r="http://schemas.openxmlformats.org/officeDocument/2006/relationships" ref="E5" r:id="rId4"/>
    <hyperlink xmlns:r="http://schemas.openxmlformats.org/officeDocument/2006/relationships" ref="F5" r:id="rId5"/>
    <hyperlink xmlns:r="http://schemas.openxmlformats.org/officeDocument/2006/relationships" ref="G5" r:id="rId6"/>
    <hyperlink xmlns:r="http://schemas.openxmlformats.org/officeDocument/2006/relationships" ref="H5" r:id="rId7"/>
    <hyperlink xmlns:r="http://schemas.openxmlformats.org/officeDocument/2006/relationships" ref="I5" r:id="rId8"/>
    <hyperlink xmlns:r="http://schemas.openxmlformats.org/officeDocument/2006/relationships" ref="J5" r:id="rId9"/>
    <hyperlink xmlns:r="http://schemas.openxmlformats.org/officeDocument/2006/relationships" ref="K5" r:id="rId10"/>
    <hyperlink xmlns:r="http://schemas.openxmlformats.org/officeDocument/2006/relationships" ref="L5" r:id="rId11"/>
    <hyperlink xmlns:r="http://schemas.openxmlformats.org/officeDocument/2006/relationships" ref="M5" r:id="rId12"/>
    <hyperlink xmlns:r="http://schemas.openxmlformats.org/officeDocument/2006/relationships" ref="B6" r:id="rId13"/>
    <hyperlink xmlns:r="http://schemas.openxmlformats.org/officeDocument/2006/relationships" ref="C6" r:id="rId14"/>
    <hyperlink xmlns:r="http://schemas.openxmlformats.org/officeDocument/2006/relationships" ref="D6" r:id="rId15"/>
    <hyperlink xmlns:r="http://schemas.openxmlformats.org/officeDocument/2006/relationships" ref="E6" r:id="rId16"/>
    <hyperlink xmlns:r="http://schemas.openxmlformats.org/officeDocument/2006/relationships" ref="F6" r:id="rId17"/>
    <hyperlink xmlns:r="http://schemas.openxmlformats.org/officeDocument/2006/relationships" ref="G6" r:id="rId18"/>
    <hyperlink xmlns:r="http://schemas.openxmlformats.org/officeDocument/2006/relationships" ref="H6" r:id="rId19"/>
    <hyperlink xmlns:r="http://schemas.openxmlformats.org/officeDocument/2006/relationships" ref="I6" r:id="rId20"/>
    <hyperlink xmlns:r="http://schemas.openxmlformats.org/officeDocument/2006/relationships" ref="J6" r:id="rId21"/>
    <hyperlink xmlns:r="http://schemas.openxmlformats.org/officeDocument/2006/relationships" ref="K6" r:id="rId22"/>
    <hyperlink xmlns:r="http://schemas.openxmlformats.org/officeDocument/2006/relationships" ref="L6" r:id="rId23"/>
    <hyperlink xmlns:r="http://schemas.openxmlformats.org/officeDocument/2006/relationships" ref="M6" r:id="rId24"/>
    <hyperlink xmlns:r="http://schemas.openxmlformats.org/officeDocument/2006/relationships" ref="B8" r:id="rId25"/>
    <hyperlink xmlns:r="http://schemas.openxmlformats.org/officeDocument/2006/relationships" ref="C8" r:id="rId26"/>
    <hyperlink xmlns:r="http://schemas.openxmlformats.org/officeDocument/2006/relationships" ref="D8" r:id="rId27"/>
    <hyperlink xmlns:r="http://schemas.openxmlformats.org/officeDocument/2006/relationships" ref="E8" r:id="rId28"/>
    <hyperlink xmlns:r="http://schemas.openxmlformats.org/officeDocument/2006/relationships" ref="F8" r:id="rId29"/>
    <hyperlink xmlns:r="http://schemas.openxmlformats.org/officeDocument/2006/relationships" ref="G8" r:id="rId30"/>
    <hyperlink xmlns:r="http://schemas.openxmlformats.org/officeDocument/2006/relationships" ref="L8" r:id="rId31"/>
    <hyperlink xmlns:r="http://schemas.openxmlformats.org/officeDocument/2006/relationships" ref="M8" r:id="rId32"/>
    <hyperlink xmlns:r="http://schemas.openxmlformats.org/officeDocument/2006/relationships" ref="B9" r:id="rId33"/>
    <hyperlink xmlns:r="http://schemas.openxmlformats.org/officeDocument/2006/relationships" ref="C9" r:id="rId34"/>
    <hyperlink xmlns:r="http://schemas.openxmlformats.org/officeDocument/2006/relationships" ref="B11" r:id="rId35"/>
    <hyperlink xmlns:r="http://schemas.openxmlformats.org/officeDocument/2006/relationships" ref="C11" r:id="rId36"/>
    <hyperlink xmlns:r="http://schemas.openxmlformats.org/officeDocument/2006/relationships" ref="D11" r:id="rId37"/>
    <hyperlink xmlns:r="http://schemas.openxmlformats.org/officeDocument/2006/relationships" ref="E11" r:id="rId38"/>
    <hyperlink xmlns:r="http://schemas.openxmlformats.org/officeDocument/2006/relationships" ref="F11" r:id="rId39"/>
    <hyperlink xmlns:r="http://schemas.openxmlformats.org/officeDocument/2006/relationships" ref="G11" r:id="rId40"/>
    <hyperlink xmlns:r="http://schemas.openxmlformats.org/officeDocument/2006/relationships" ref="H11" r:id="rId41"/>
    <hyperlink xmlns:r="http://schemas.openxmlformats.org/officeDocument/2006/relationships" ref="I11" r:id="rId42"/>
    <hyperlink xmlns:r="http://schemas.openxmlformats.org/officeDocument/2006/relationships" ref="J11" r:id="rId43"/>
    <hyperlink xmlns:r="http://schemas.openxmlformats.org/officeDocument/2006/relationships" ref="K11" r:id="rId44"/>
    <hyperlink xmlns:r="http://schemas.openxmlformats.org/officeDocument/2006/relationships" ref="L11" r:id="rId45"/>
    <hyperlink xmlns:r="http://schemas.openxmlformats.org/officeDocument/2006/relationships" ref="M11" r:id="rId46"/>
    <hyperlink xmlns:r="http://schemas.openxmlformats.org/officeDocument/2006/relationships" ref="B12" r:id="rId47"/>
    <hyperlink xmlns:r="http://schemas.openxmlformats.org/officeDocument/2006/relationships" ref="C12" r:id="rId48"/>
    <hyperlink xmlns:r="http://schemas.openxmlformats.org/officeDocument/2006/relationships" ref="F12" r:id="rId49"/>
    <hyperlink xmlns:r="http://schemas.openxmlformats.org/officeDocument/2006/relationships" ref="G12" r:id="rId50"/>
    <hyperlink xmlns:r="http://schemas.openxmlformats.org/officeDocument/2006/relationships" ref="B14" r:id="rId51"/>
    <hyperlink xmlns:r="http://schemas.openxmlformats.org/officeDocument/2006/relationships" ref="C14" r:id="rId52"/>
    <hyperlink xmlns:r="http://schemas.openxmlformats.org/officeDocument/2006/relationships" ref="D14" r:id="rId53"/>
    <hyperlink xmlns:r="http://schemas.openxmlformats.org/officeDocument/2006/relationships" ref="E14" r:id="rId54"/>
    <hyperlink xmlns:r="http://schemas.openxmlformats.org/officeDocument/2006/relationships" ref="F14" r:id="rId55"/>
    <hyperlink xmlns:r="http://schemas.openxmlformats.org/officeDocument/2006/relationships" ref="G14" r:id="rId56"/>
    <hyperlink xmlns:r="http://schemas.openxmlformats.org/officeDocument/2006/relationships" ref="H14" r:id="rId57"/>
    <hyperlink xmlns:r="http://schemas.openxmlformats.org/officeDocument/2006/relationships" ref="I14" r:id="rId58"/>
    <hyperlink xmlns:r="http://schemas.openxmlformats.org/officeDocument/2006/relationships" ref="J14" r:id="rId59"/>
    <hyperlink xmlns:r="http://schemas.openxmlformats.org/officeDocument/2006/relationships" ref="K14" r:id="rId60"/>
    <hyperlink xmlns:r="http://schemas.openxmlformats.org/officeDocument/2006/relationships" ref="L14" r:id="rId61"/>
    <hyperlink xmlns:r="http://schemas.openxmlformats.org/officeDocument/2006/relationships" ref="M14" r:id="rId62"/>
    <hyperlink xmlns:r="http://schemas.openxmlformats.org/officeDocument/2006/relationships" ref="B15" r:id="rId63"/>
    <hyperlink xmlns:r="http://schemas.openxmlformats.org/officeDocument/2006/relationships" ref="C15" r:id="rId64"/>
    <hyperlink xmlns:r="http://schemas.openxmlformats.org/officeDocument/2006/relationships" ref="D15" r:id="rId65"/>
    <hyperlink xmlns:r="http://schemas.openxmlformats.org/officeDocument/2006/relationships" ref="E15" r:id="rId66"/>
    <hyperlink xmlns:r="http://schemas.openxmlformats.org/officeDocument/2006/relationships" ref="F15" r:id="rId67"/>
    <hyperlink xmlns:r="http://schemas.openxmlformats.org/officeDocument/2006/relationships" ref="G15" r:id="rId68"/>
    <hyperlink xmlns:r="http://schemas.openxmlformats.org/officeDocument/2006/relationships" ref="H15" r:id="rId69"/>
    <hyperlink xmlns:r="http://schemas.openxmlformats.org/officeDocument/2006/relationships" ref="I15" r:id="rId70"/>
    <hyperlink xmlns:r="http://schemas.openxmlformats.org/officeDocument/2006/relationships" ref="J15" r:id="rId71"/>
    <hyperlink xmlns:r="http://schemas.openxmlformats.org/officeDocument/2006/relationships" ref="K15" r:id="rId72"/>
    <hyperlink xmlns:r="http://schemas.openxmlformats.org/officeDocument/2006/relationships" ref="L15" r:id="rId73"/>
    <hyperlink xmlns:r="http://schemas.openxmlformats.org/officeDocument/2006/relationships" ref="M15" r:id="rId74"/>
    <hyperlink xmlns:r="http://schemas.openxmlformats.org/officeDocument/2006/relationships" ref="B17" r:id="rId75"/>
    <hyperlink xmlns:r="http://schemas.openxmlformats.org/officeDocument/2006/relationships" ref="C17" r:id="rId76"/>
    <hyperlink xmlns:r="http://schemas.openxmlformats.org/officeDocument/2006/relationships" ref="D17" r:id="rId77"/>
    <hyperlink xmlns:r="http://schemas.openxmlformats.org/officeDocument/2006/relationships" ref="E17" r:id="rId78"/>
    <hyperlink xmlns:r="http://schemas.openxmlformats.org/officeDocument/2006/relationships" ref="F17" r:id="rId79"/>
    <hyperlink xmlns:r="http://schemas.openxmlformats.org/officeDocument/2006/relationships" ref="G17" r:id="rId80"/>
    <hyperlink xmlns:r="http://schemas.openxmlformats.org/officeDocument/2006/relationships" ref="H17" r:id="rId81"/>
    <hyperlink xmlns:r="http://schemas.openxmlformats.org/officeDocument/2006/relationships" ref="I17" r:id="rId82"/>
    <hyperlink xmlns:r="http://schemas.openxmlformats.org/officeDocument/2006/relationships" ref="J17" r:id="rId83"/>
    <hyperlink xmlns:r="http://schemas.openxmlformats.org/officeDocument/2006/relationships" ref="K17" r:id="rId84"/>
    <hyperlink xmlns:r="http://schemas.openxmlformats.org/officeDocument/2006/relationships" ref="L17" r:id="rId85"/>
    <hyperlink xmlns:r="http://schemas.openxmlformats.org/officeDocument/2006/relationships" ref="M17" r:id="rId86"/>
    <hyperlink xmlns:r="http://schemas.openxmlformats.org/officeDocument/2006/relationships" ref="H18" r:id="rId87"/>
    <hyperlink xmlns:r="http://schemas.openxmlformats.org/officeDocument/2006/relationships" ref="I18" r:id="rId88"/>
    <hyperlink xmlns:r="http://schemas.openxmlformats.org/officeDocument/2006/relationships" ref="J18" r:id="rId89"/>
    <hyperlink xmlns:r="http://schemas.openxmlformats.org/officeDocument/2006/relationships" ref="K18" r:id="rId90"/>
  </hyperlinks>
  <pageMargins left="0.75" right="0.75" top="1" bottom="1" header="0.5" footer="0.5"/>
  <pageSetup orientation="portrait" paperSize="9"/>
</worksheet>
</file>

<file path=xl/worksheets/sheet2.xml><?xml version="1.0" encoding="utf-8"?>
<worksheet xmlns="http://schemas.openxmlformats.org/spreadsheetml/2006/main">
  <sheetPr codeName="Feuil2">
    <outlinePr summaryBelow="1" summaryRight="1"/>
    <pageSetUpPr/>
  </sheetPr>
  <dimension ref="C2:G774"/>
  <sheetViews>
    <sheetView topLeftCell="A222" workbookViewId="0">
      <selection activeCell="G219" sqref="G219"/>
    </sheetView>
  </sheetViews>
  <sheetFormatPr baseColWidth="10" defaultColWidth="8.88671875" defaultRowHeight="14.4"/>
  <cols>
    <col width="37.21875" customWidth="1" min="3" max="3"/>
    <col width="62" customWidth="1" min="4" max="4"/>
    <col width="13.109375" customWidth="1" min="7" max="7"/>
  </cols>
  <sheetData>
    <row r="2">
      <c r="C2" s="162" t="inlineStr">
        <is>
          <t>Details for : L1 serie - Postes Backlog</t>
        </is>
      </c>
      <c r="D2" s="163" t="inlineStr">
        <is>
          <t>Article : Client - Length x Width x Thickness</t>
        </is>
      </c>
      <c r="E2" s="163" t="inlineStr">
        <is>
          <t>Postes</t>
        </is>
      </c>
      <c r="F2" s="163" t="inlineStr">
        <is>
          <t>Tonnes</t>
        </is>
      </c>
      <c r="G2" s="164" t="inlineStr">
        <is>
          <t>Productivity</t>
        </is>
      </c>
    </row>
    <row r="3">
      <c r="C3" s="165" t="inlineStr">
        <is>
          <t>Sum Tonnes : 40.48</t>
        </is>
      </c>
      <c r="D3" s="166" t="inlineStr">
        <is>
          <t>8070684:OTIS SCS - 2700.0x989.5x2.5</t>
        </is>
      </c>
      <c r="E3" s="166" t="n">
        <v>0</v>
      </c>
      <c r="F3" s="166" t="n">
        <v>0.10481</v>
      </c>
      <c r="G3" s="167" t="n">
        <v>3.66</v>
      </c>
    </row>
    <row r="4">
      <c r="C4" s="165" t="inlineStr">
        <is>
          <t>Sum Postes : 1.81</t>
        </is>
      </c>
      <c r="D4" s="168" t="inlineStr">
        <is>
          <t>8046628:SIMPSON STRONG-TIE SAS - 2500.0x1250.0x2.5</t>
        </is>
      </c>
      <c r="E4" s="168" t="n">
        <v>0.03</v>
      </c>
      <c r="F4" s="168" t="n">
        <v>4.274</v>
      </c>
      <c r="G4" s="169" t="n">
        <v>17.02</v>
      </c>
    </row>
    <row r="5">
      <c r="C5" s="165" t="inlineStr">
        <is>
          <t>Average Productivity : 2.98</t>
        </is>
      </c>
      <c r="D5" s="170" t="inlineStr">
        <is>
          <t>8109448:VIESSMANN FAULQUEMONT SAS - 2103.0x1654.0x0.7</t>
        </is>
      </c>
      <c r="E5" s="170" t="n">
        <v>1.21</v>
      </c>
      <c r="F5" s="170" t="n">
        <v>19.898</v>
      </c>
      <c r="G5" s="171" t="n">
        <v>2.19</v>
      </c>
    </row>
    <row r="6">
      <c r="C6" s="172" t="n"/>
      <c r="D6" s="168" t="inlineStr">
        <is>
          <t>8012561:BENTELER AUTOMOBILTECHNIK GMBH - 2240.0x1500.0x1.8</t>
        </is>
      </c>
      <c r="E6" s="168" t="n">
        <v>0.04</v>
      </c>
      <c r="F6" s="168" t="n">
        <v>1.8</v>
      </c>
      <c r="G6" s="169" t="n">
        <v>5.76</v>
      </c>
    </row>
    <row r="7">
      <c r="C7" s="172" t="n"/>
      <c r="D7" s="168" t="inlineStr">
        <is>
          <t>8040408:OTIS SCS - 3380.0x677.0x2.5</t>
        </is>
      </c>
      <c r="E7" s="168" t="n">
        <v>0.16</v>
      </c>
      <c r="F7" s="168" t="n">
        <v>5.40816</v>
      </c>
      <c r="G7" s="169" t="n">
        <v>4.63</v>
      </c>
    </row>
    <row r="8">
      <c r="C8" s="173" t="n"/>
      <c r="D8" s="174" t="inlineStr">
        <is>
          <t>8115339:SUNGWOO HITECH GmbH - 620.0x305.0x2.15</t>
        </is>
      </c>
      <c r="E8" s="174" t="n">
        <v>0.37</v>
      </c>
      <c r="F8" s="174" t="n">
        <v>9</v>
      </c>
      <c r="G8" s="175" t="n">
        <v>3.28</v>
      </c>
    </row>
    <row r="12">
      <c r="C12" s="162" t="inlineStr">
        <is>
          <t xml:space="preserve">Details for : L1 serie - Postes Forecast W15 </t>
        </is>
      </c>
      <c r="D12" s="163" t="inlineStr">
        <is>
          <t>Article : Client - Length x Width x Thickness</t>
        </is>
      </c>
      <c r="E12" s="163" t="inlineStr">
        <is>
          <t>Postes</t>
        </is>
      </c>
      <c r="F12" s="163" t="inlineStr">
        <is>
          <t>Tonnes</t>
        </is>
      </c>
      <c r="G12" s="164" t="inlineStr">
        <is>
          <t>Productivity</t>
        </is>
      </c>
    </row>
    <row r="13">
      <c r="C13" s="165" t="inlineStr">
        <is>
          <t>Sum Tonnes : 95.09</t>
        </is>
      </c>
      <c r="D13" s="168" t="inlineStr">
        <is>
          <t>8012581:SNOP VILLEPINTE - 430.0x1000.0x0.75</t>
        </is>
      </c>
      <c r="E13" s="168" t="n">
        <v>0.21</v>
      </c>
      <c r="F13" s="168" t="n">
        <v>5</v>
      </c>
      <c r="G13" s="169" t="n">
        <v>3.21</v>
      </c>
    </row>
    <row r="14">
      <c r="C14" s="165" t="inlineStr">
        <is>
          <t>Sum Postes : 2.26</t>
        </is>
      </c>
      <c r="D14" s="170" t="inlineStr">
        <is>
          <t>8012561:BENTELER AUTOMOBILTECHNIK GMBH - 2240.0x1500.0x1.8</t>
        </is>
      </c>
      <c r="E14" s="170" t="n">
        <v>0.5600000000000001</v>
      </c>
      <c r="F14" s="170" t="n">
        <v>24</v>
      </c>
      <c r="G14" s="171" t="n">
        <v>5.76</v>
      </c>
    </row>
    <row r="15">
      <c r="C15" s="165" t="inlineStr">
        <is>
          <t>Average Productivity : 5.61</t>
        </is>
      </c>
      <c r="D15" s="168" t="inlineStr">
        <is>
          <t>8012609:SNOP VILLEPINTE - 1220.0x605.0x0.8</t>
        </is>
      </c>
      <c r="E15" s="168" t="n">
        <v>0.23</v>
      </c>
      <c r="F15" s="168" t="n">
        <v>11</v>
      </c>
      <c r="G15" s="169" t="n">
        <v>6.28</v>
      </c>
    </row>
    <row r="16">
      <c r="C16" s="172" t="n"/>
      <c r="D16" s="168" t="inlineStr">
        <is>
          <t>8055824:MARTINREA BERGNEUSTADT GmbH - 2077.0x367.0x2.0</t>
        </is>
      </c>
      <c r="E16" s="168" t="n">
        <v>0.32</v>
      </c>
      <c r="F16" s="168" t="n">
        <v>23.958</v>
      </c>
      <c r="G16" s="169" t="n">
        <v>9.92</v>
      </c>
    </row>
    <row r="17">
      <c r="C17" s="172" t="n"/>
      <c r="D17" s="168" t="inlineStr">
        <is>
          <t>8039307:OTIS SCS - 3300.0x550.0x3.0</t>
        </is>
      </c>
      <c r="E17" s="168" t="n">
        <v>0.16</v>
      </c>
      <c r="F17" s="168" t="n">
        <v>6.8768</v>
      </c>
      <c r="G17" s="169" t="n">
        <v>5.74</v>
      </c>
    </row>
    <row r="18">
      <c r="C18" s="172" t="n"/>
      <c r="D18" s="168" t="inlineStr">
        <is>
          <t>8040408:OTIS SCS - 3380.0x677.0x2.5</t>
        </is>
      </c>
      <c r="E18" s="168" t="n">
        <v>0.16</v>
      </c>
      <c r="F18" s="168" t="n">
        <v>5.40816</v>
      </c>
      <c r="G18" s="169" t="n">
        <v>4.63</v>
      </c>
    </row>
    <row r="19">
      <c r="C19" s="172" t="n"/>
      <c r="D19" s="166" t="inlineStr">
        <is>
          <t>8030451:OTIS SCS - 1390.0x410.0x4.0</t>
        </is>
      </c>
      <c r="E19" s="166" t="n">
        <v>0.05</v>
      </c>
      <c r="F19" s="166" t="n">
        <v>0.6621899999999999</v>
      </c>
      <c r="G19" s="167" t="n">
        <v>1.8</v>
      </c>
    </row>
    <row r="20">
      <c r="C20" s="173" t="n"/>
      <c r="D20" s="174" t="inlineStr">
        <is>
          <t>8117493:OTIS SCS - 2700.0x1370.0x2.5</t>
        </is>
      </c>
      <c r="E20" s="174" t="n">
        <v>0.57</v>
      </c>
      <c r="F20" s="174" t="n">
        <v>18.18875</v>
      </c>
      <c r="G20" s="175" t="n">
        <v>4.22</v>
      </c>
    </row>
    <row r="24">
      <c r="C24" s="162" t="inlineStr">
        <is>
          <t xml:space="preserve">Details for : L1 serie - Postes Forecast W16 </t>
        </is>
      </c>
      <c r="D24" s="163" t="inlineStr">
        <is>
          <t>Article : Client - Length x Width x Thickness</t>
        </is>
      </c>
      <c r="E24" s="163" t="inlineStr">
        <is>
          <t>Postes</t>
        </is>
      </c>
      <c r="F24" s="163" t="inlineStr">
        <is>
          <t>Tonnes</t>
        </is>
      </c>
      <c r="G24" s="164" t="inlineStr">
        <is>
          <t>Productivity</t>
        </is>
      </c>
    </row>
    <row r="25">
      <c r="C25" s="165" t="inlineStr">
        <is>
          <t>Sum Tonnes : 243.17</t>
        </is>
      </c>
      <c r="D25" s="168" t="inlineStr">
        <is>
          <t>8033662:SIMPSON STRONG-TIE SAS - 2500.0x1250.0x3.0</t>
        </is>
      </c>
      <c r="E25" s="168" t="n">
        <v>0.29</v>
      </c>
      <c r="F25" s="168" t="n">
        <v>10</v>
      </c>
      <c r="G25" s="169" t="n">
        <v>4.54</v>
      </c>
    </row>
    <row r="26">
      <c r="C26" s="165" t="inlineStr">
        <is>
          <t>Sum Postes : 7.05</t>
        </is>
      </c>
      <c r="D26" s="168" t="inlineStr">
        <is>
          <t>8040862:SIMPSON STRONG-TIE SAS - 2500.0x1250.0x2.0</t>
        </is>
      </c>
      <c r="E26" s="168" t="n">
        <v>0.07000000000000001</v>
      </c>
      <c r="F26" s="168" t="n">
        <v>10</v>
      </c>
      <c r="G26" s="169" t="n">
        <v>19.45</v>
      </c>
    </row>
    <row r="27">
      <c r="C27" s="165" t="inlineStr">
        <is>
          <t>Average Productivity : 4.6</t>
        </is>
      </c>
      <c r="D27" s="168" t="inlineStr">
        <is>
          <t>8012591:GEDIA POLAND SP Z.O.O - 2210.0x551.0x2.4</t>
        </is>
      </c>
      <c r="E27" s="168" t="n">
        <v>0.45</v>
      </c>
      <c r="F27" s="168" t="n">
        <v>24</v>
      </c>
      <c r="G27" s="169" t="n">
        <v>7.14</v>
      </c>
    </row>
    <row r="28">
      <c r="C28" s="172" t="n"/>
      <c r="D28" s="168" t="inlineStr">
        <is>
          <t>8012601:SNOP VILLEPINTE - 1220.0x480.0x1.2</t>
        </is>
      </c>
      <c r="E28" s="168" t="n">
        <v>0.18</v>
      </c>
      <c r="F28" s="168" t="n">
        <v>9</v>
      </c>
      <c r="G28" s="169" t="n">
        <v>6.78</v>
      </c>
    </row>
    <row r="29">
      <c r="C29" s="172" t="n"/>
      <c r="D29" s="168" t="inlineStr">
        <is>
          <t>8012608:SNOP VILLEPINTE - 1700.0x490.0x0.8</t>
        </is>
      </c>
      <c r="E29" s="168" t="n">
        <v>0.19</v>
      </c>
      <c r="F29" s="168" t="n">
        <v>10</v>
      </c>
      <c r="G29" s="169" t="n">
        <v>7.17</v>
      </c>
    </row>
    <row r="30">
      <c r="C30" s="172" t="n"/>
      <c r="D30" s="166" t="inlineStr">
        <is>
          <t>8016926:SNOP VILLEPINTE - 643.0x374.0x1.2</t>
        </is>
      </c>
      <c r="E30" s="166" t="n">
        <v>2.3</v>
      </c>
      <c r="F30" s="166" t="n">
        <v>1.38</v>
      </c>
      <c r="G30" s="167" t="n">
        <v>0.08</v>
      </c>
    </row>
    <row r="31">
      <c r="C31" s="172" t="n"/>
      <c r="D31" s="168" t="inlineStr">
        <is>
          <t>8032518:GEDIA POLAND SP Z.O.O - 1024.0x650.0x1.0</t>
        </is>
      </c>
      <c r="E31" s="168" t="n">
        <v>0.28</v>
      </c>
      <c r="F31" s="168" t="n">
        <v>13.2</v>
      </c>
      <c r="G31" s="169" t="n">
        <v>6.25</v>
      </c>
    </row>
    <row r="32">
      <c r="C32" s="172" t="n"/>
      <c r="D32" s="168" t="inlineStr">
        <is>
          <t>8032595:GEDIA POLAND SP Z.O.O - 1861.0x273.0x1.2</t>
        </is>
      </c>
      <c r="E32" s="168" t="n">
        <v>0.42</v>
      </c>
      <c r="F32" s="168" t="n">
        <v>21.209</v>
      </c>
      <c r="G32" s="169" t="n">
        <v>6.72</v>
      </c>
    </row>
    <row r="33">
      <c r="C33" s="172" t="n"/>
      <c r="D33" s="168" t="inlineStr">
        <is>
          <t>8057994:RENAULT SAS - 790.0x210.0x2.0</t>
        </is>
      </c>
      <c r="E33" s="168" t="n">
        <v>0.49</v>
      </c>
      <c r="F33" s="168" t="n">
        <v>18.55</v>
      </c>
      <c r="G33" s="169" t="n">
        <v>5.02</v>
      </c>
    </row>
    <row r="34">
      <c r="C34" s="172" t="n"/>
      <c r="D34" s="170" t="inlineStr">
        <is>
          <t>8055824:MARTINREA BERGNEUSTADT GmbH - 2077.0x367.0x2.0</t>
        </is>
      </c>
      <c r="E34" s="170" t="n">
        <v>1.29</v>
      </c>
      <c r="F34" s="170" t="n">
        <v>95.83199999999999</v>
      </c>
      <c r="G34" s="171" t="n">
        <v>9.92</v>
      </c>
    </row>
    <row r="35">
      <c r="C35" s="172" t="n"/>
      <c r="D35" s="168" t="inlineStr">
        <is>
          <t>8058790:F2J STAMPING BESSINES - 2018.0x1760.0x2.0</t>
        </is>
      </c>
      <c r="E35" s="168" t="n">
        <v>0.28</v>
      </c>
      <c r="F35" s="168" t="n">
        <v>10</v>
      </c>
      <c r="G35" s="169" t="n">
        <v>4.78</v>
      </c>
    </row>
    <row r="36">
      <c r="C36" s="173" t="n"/>
      <c r="D36" s="174" t="inlineStr">
        <is>
          <t>8115339:SUNGWOO HITECH GmbH - 620.0x305.0x2.15</t>
        </is>
      </c>
      <c r="E36" s="174" t="n">
        <v>0.8100000000000001</v>
      </c>
      <c r="F36" s="174" t="n">
        <v>20</v>
      </c>
      <c r="G36" s="175" t="n">
        <v>3.28</v>
      </c>
    </row>
    <row r="40">
      <c r="C40" s="162" t="inlineStr">
        <is>
          <t xml:space="preserve">Details for : L1 serie - Postes Forecast W17 </t>
        </is>
      </c>
      <c r="D40" s="163" t="inlineStr">
        <is>
          <t>Article : Client - Length x Width x Thickness</t>
        </is>
      </c>
      <c r="E40" s="163" t="inlineStr">
        <is>
          <t>Postes</t>
        </is>
      </c>
      <c r="F40" s="163" t="inlineStr">
        <is>
          <t>Tonnes</t>
        </is>
      </c>
      <c r="G40" s="164" t="inlineStr">
        <is>
          <t>Productivity</t>
        </is>
      </c>
    </row>
    <row r="41">
      <c r="C41" s="165" t="inlineStr">
        <is>
          <t>Sum Tonnes : 275.98</t>
        </is>
      </c>
      <c r="D41" s="168" t="inlineStr">
        <is>
          <t>8048433:DE BUYER INDUSTRIES  SA - 2500.0x1250.0x2.0</t>
        </is>
      </c>
      <c r="E41" s="168" t="n">
        <v>0.51</v>
      </c>
      <c r="F41" s="168" t="n">
        <v>12</v>
      </c>
      <c r="G41" s="169" t="n">
        <v>3.11</v>
      </c>
    </row>
    <row r="42">
      <c r="C42" s="165" t="inlineStr">
        <is>
          <t>Sum Postes : 5.22</t>
        </is>
      </c>
      <c r="D42" s="168" t="inlineStr">
        <is>
          <t>8048433:DE BUYER INDUSTRIES  SA - 2500.0x1250.0x2.0</t>
        </is>
      </c>
      <c r="E42" s="168" t="n">
        <v>0.21</v>
      </c>
      <c r="F42" s="168" t="n">
        <v>5</v>
      </c>
      <c r="G42" s="169" t="n">
        <v>3.11</v>
      </c>
    </row>
    <row r="43">
      <c r="C43" s="165" t="inlineStr">
        <is>
          <t>Average Productivity : 7.05</t>
        </is>
      </c>
      <c r="D43" s="166" t="inlineStr">
        <is>
          <t>8033727:DE BUYER INDUSTRIES  SA - 2500.0x1250.0x1.0</t>
        </is>
      </c>
      <c r="E43" s="166" t="n">
        <v>0.07000000000000001</v>
      </c>
      <c r="F43" s="166" t="n">
        <v>3</v>
      </c>
      <c r="G43" s="167" t="n">
        <v>5.86</v>
      </c>
    </row>
    <row r="44">
      <c r="C44" s="172" t="n"/>
      <c r="D44" s="168" t="inlineStr">
        <is>
          <t>8012606:SNOP VILLEPINTE - 400.0x550.0x1.5</t>
        </is>
      </c>
      <c r="E44" s="168" t="n">
        <v>0.22</v>
      </c>
      <c r="F44" s="168" t="n">
        <v>8.84</v>
      </c>
      <c r="G44" s="169" t="n">
        <v>5.48</v>
      </c>
    </row>
    <row r="45">
      <c r="C45" s="172" t="n"/>
      <c r="D45" s="168" t="inlineStr">
        <is>
          <t>8032518:GEDIA POLAND SP Z.O.O - 1024.0x650.0x1.0</t>
        </is>
      </c>
      <c r="E45" s="168" t="n">
        <v>0.28</v>
      </c>
      <c r="F45" s="168" t="n">
        <v>13.2</v>
      </c>
      <c r="G45" s="169" t="n">
        <v>6.25</v>
      </c>
    </row>
    <row r="46">
      <c r="C46" s="172" t="n"/>
      <c r="D46" s="168" t="inlineStr">
        <is>
          <t>8032595:GEDIA POLAND SP Z.O.O - 1861.0x273.0x1.2</t>
        </is>
      </c>
      <c r="E46" s="168" t="n">
        <v>1.43</v>
      </c>
      <c r="F46" s="168" t="n">
        <v>72</v>
      </c>
      <c r="G46" s="169" t="n">
        <v>6.72</v>
      </c>
    </row>
    <row r="47">
      <c r="C47" s="172" t="n"/>
      <c r="D47" s="170" t="inlineStr">
        <is>
          <t>8055824:MARTINREA BERGNEUSTADT GmbH - 2077.0x367.0x2.0</t>
        </is>
      </c>
      <c r="E47" s="170" t="n">
        <v>1.93</v>
      </c>
      <c r="F47" s="170" t="n">
        <v>143.748</v>
      </c>
      <c r="G47" s="171" t="n">
        <v>9.92</v>
      </c>
    </row>
    <row r="48">
      <c r="C48" s="173" t="n"/>
      <c r="D48" s="174" t="inlineStr">
        <is>
          <t>8117493:OTIS SCS - 2700.0x1370.0x2.5</t>
        </is>
      </c>
      <c r="E48" s="174" t="n">
        <v>0.57</v>
      </c>
      <c r="F48" s="174" t="n">
        <v>18.18875</v>
      </c>
      <c r="G48" s="175" t="n">
        <v>4.22</v>
      </c>
    </row>
    <row r="52">
      <c r="C52" s="162" t="inlineStr">
        <is>
          <t xml:space="preserve">Details for : L1 serie - Postes Forecast W18 </t>
        </is>
      </c>
      <c r="D52" s="163" t="inlineStr">
        <is>
          <t>Article : Client - Length x Width x Thickness</t>
        </is>
      </c>
      <c r="E52" s="163" t="inlineStr">
        <is>
          <t>Postes</t>
        </is>
      </c>
      <c r="F52" s="163" t="inlineStr">
        <is>
          <t>Tonnes</t>
        </is>
      </c>
      <c r="G52" s="164" t="inlineStr">
        <is>
          <t>Productivity</t>
        </is>
      </c>
    </row>
    <row r="53">
      <c r="C53" s="165" t="inlineStr">
        <is>
          <t>Sum Tonnes : 201.74</t>
        </is>
      </c>
      <c r="D53" s="168" t="inlineStr">
        <is>
          <t>8033728:DE BUYER INDUSTRIES  SA - 2500.0x1250.0x1.4</t>
        </is>
      </c>
      <c r="E53" s="168" t="n">
        <v>0.19</v>
      </c>
      <c r="F53" s="168" t="n">
        <v>5</v>
      </c>
      <c r="G53" s="169" t="n">
        <v>3.59</v>
      </c>
    </row>
    <row r="54">
      <c r="C54" s="165" t="inlineStr">
        <is>
          <t>Sum Postes : 4.31</t>
        </is>
      </c>
      <c r="D54" s="168" t="inlineStr">
        <is>
          <t>8029212:BONGARD SAS - 2000.0x1500.0x1.5</t>
        </is>
      </c>
      <c r="E54" s="168" t="n">
        <v>0.12</v>
      </c>
      <c r="F54" s="168" t="n">
        <v>2.5</v>
      </c>
      <c r="G54" s="169" t="n">
        <v>2.85</v>
      </c>
    </row>
    <row r="55">
      <c r="C55" s="165" t="inlineStr">
        <is>
          <t>Average Productivity : 6.24</t>
        </is>
      </c>
      <c r="D55" s="168" t="inlineStr">
        <is>
          <t>8105975:BONGARD SAS - 1900.0x1350.0x2.0</t>
        </is>
      </c>
      <c r="E55" s="168" t="n">
        <v>0.05</v>
      </c>
      <c r="F55" s="168" t="n">
        <v>2.5</v>
      </c>
      <c r="G55" s="169" t="n">
        <v>6.31</v>
      </c>
    </row>
    <row r="56">
      <c r="C56" s="172" t="n"/>
      <c r="D56" s="168" t="inlineStr">
        <is>
          <t>8105975:BONGARD SAS - 1900.0x1350.0x2.0</t>
        </is>
      </c>
      <c r="E56" s="168" t="n">
        <v>0.05</v>
      </c>
      <c r="F56" s="168" t="n">
        <v>2.5</v>
      </c>
      <c r="G56" s="169" t="n">
        <v>6.31</v>
      </c>
    </row>
    <row r="57">
      <c r="C57" s="172" t="n"/>
      <c r="D57" s="168" t="inlineStr">
        <is>
          <t>8105975:BONGARD SAS - 1900.0x1350.0x2.0</t>
        </is>
      </c>
      <c r="E57" s="168" t="n">
        <v>0.05</v>
      </c>
      <c r="F57" s="168" t="n">
        <v>2.5</v>
      </c>
      <c r="G57" s="169" t="n">
        <v>6.31</v>
      </c>
    </row>
    <row r="58">
      <c r="C58" s="172" t="n"/>
      <c r="D58" s="168" t="inlineStr">
        <is>
          <t>8105975:BONGARD SAS - 1900.0x1350.0x2.0</t>
        </is>
      </c>
      <c r="E58" s="168" t="n">
        <v>0.05</v>
      </c>
      <c r="F58" s="168" t="n">
        <v>2.5</v>
      </c>
      <c r="G58" s="169" t="n">
        <v>6.31</v>
      </c>
    </row>
    <row r="59">
      <c r="C59" s="172" t="n"/>
      <c r="D59" s="168" t="inlineStr">
        <is>
          <t>8049030:GIENNOISE DE CHAUDRONNERIE - 2500.0x1370.0x2.5</t>
        </is>
      </c>
      <c r="E59" s="168" t="n">
        <v>0.12</v>
      </c>
      <c r="F59" s="168" t="n">
        <v>2.5</v>
      </c>
      <c r="G59" s="169" t="n">
        <v>2.77</v>
      </c>
    </row>
    <row r="60">
      <c r="C60" s="172" t="n"/>
      <c r="D60" s="168" t="inlineStr">
        <is>
          <t>8105974:BONGARD SAS - 1900.0x950.0x2.0</t>
        </is>
      </c>
      <c r="E60" s="168" t="n">
        <v>0.05</v>
      </c>
      <c r="F60" s="168" t="n">
        <v>2.5</v>
      </c>
      <c r="G60" s="169" t="n">
        <v>6.48</v>
      </c>
    </row>
    <row r="61">
      <c r="C61" s="172" t="n"/>
      <c r="D61" s="168" t="inlineStr">
        <is>
          <t>8105974:BONGARD SAS - 1900.0x950.0x2.0</t>
        </is>
      </c>
      <c r="E61" s="168" t="n">
        <v>0.05</v>
      </c>
      <c r="F61" s="168" t="n">
        <v>2.5</v>
      </c>
      <c r="G61" s="169" t="n">
        <v>6.48</v>
      </c>
    </row>
    <row r="62">
      <c r="C62" s="172" t="n"/>
      <c r="D62" s="168" t="inlineStr">
        <is>
          <t>8049030:GIENNOISE DE CHAUDRONNERIE - 2500.0x1370.0x2.5</t>
        </is>
      </c>
      <c r="E62" s="168" t="n">
        <v>0.12</v>
      </c>
      <c r="F62" s="168" t="n">
        <v>2.5</v>
      </c>
      <c r="G62" s="169" t="n">
        <v>2.77</v>
      </c>
    </row>
    <row r="63">
      <c r="C63" s="172" t="n"/>
      <c r="D63" s="168" t="inlineStr">
        <is>
          <t>8012591:GEDIA POLAND SP Z.O.O - 2210.0x551.0x2.4</t>
        </is>
      </c>
      <c r="E63" s="168" t="n">
        <v>0.45</v>
      </c>
      <c r="F63" s="168" t="n">
        <v>24</v>
      </c>
      <c r="G63" s="169" t="n">
        <v>7.14</v>
      </c>
    </row>
    <row r="64">
      <c r="C64" s="172" t="n"/>
      <c r="D64" s="168" t="inlineStr">
        <is>
          <t>8012607:SNOP VILLEPINTE - 1268.0x490.0x0.8</t>
        </is>
      </c>
      <c r="E64" s="168" t="n">
        <v>0.08</v>
      </c>
      <c r="F64" s="168" t="n">
        <v>4</v>
      </c>
      <c r="G64" s="169" t="n">
        <v>6.84</v>
      </c>
    </row>
    <row r="65">
      <c r="C65" s="172" t="n"/>
      <c r="D65" s="168" t="inlineStr">
        <is>
          <t>8012560:SOFEDIT GOUZEAUCOURT - 1920.0x1825.0x0.8</t>
        </is>
      </c>
      <c r="E65" s="168" t="n">
        <v>0.5</v>
      </c>
      <c r="F65" s="168" t="n">
        <v>24.71168</v>
      </c>
      <c r="G65" s="169" t="n">
        <v>6.56</v>
      </c>
    </row>
    <row r="66">
      <c r="C66" s="172" t="n"/>
      <c r="D66" s="166" t="inlineStr">
        <is>
          <t>8032513:GEDIA POLAND SP Z.O.O - 692.0x262.0x1.5</t>
        </is>
      </c>
      <c r="E66" s="166" t="n">
        <v>0.21</v>
      </c>
      <c r="F66" s="166" t="n">
        <v>2.2</v>
      </c>
      <c r="G66" s="167" t="n">
        <v>1.41</v>
      </c>
    </row>
    <row r="67">
      <c r="C67" s="172" t="n"/>
      <c r="D67" s="168" t="inlineStr">
        <is>
          <t>8032516:GEDIA POLAND SP Z.O.O - 640.0x346.0x2.0</t>
        </is>
      </c>
      <c r="E67" s="168" t="n">
        <v>0.12</v>
      </c>
      <c r="F67" s="168" t="n">
        <v>3.5</v>
      </c>
      <c r="G67" s="169" t="n">
        <v>3.88</v>
      </c>
    </row>
    <row r="68">
      <c r="C68" s="172" t="n"/>
      <c r="D68" s="170" t="inlineStr">
        <is>
          <t>8055824:MARTINREA BERGNEUSTADT GmbH - 2077.0x367.0x2.0</t>
        </is>
      </c>
      <c r="E68" s="170" t="n">
        <v>1.29</v>
      </c>
      <c r="F68" s="170" t="n">
        <v>95.83199999999999</v>
      </c>
      <c r="G68" s="171" t="n">
        <v>9.92</v>
      </c>
    </row>
    <row r="69">
      <c r="C69" s="173" t="n"/>
      <c r="D69" s="174" t="inlineStr">
        <is>
          <t>8115339:SUNGWOO HITECH GmbH - 620.0x305.0x2.15</t>
        </is>
      </c>
      <c r="E69" s="174" t="n">
        <v>0.8100000000000001</v>
      </c>
      <c r="F69" s="174" t="n">
        <v>20</v>
      </c>
      <c r="G69" s="175" t="n">
        <v>3.28</v>
      </c>
    </row>
    <row r="73">
      <c r="C73" s="162" t="inlineStr">
        <is>
          <t xml:space="preserve">Details for : L1 serie - Postes Forecast W19 </t>
        </is>
      </c>
      <c r="D73" s="163" t="inlineStr">
        <is>
          <t>Article : Client - Length x Width x Thickness</t>
        </is>
      </c>
      <c r="E73" s="163" t="inlineStr">
        <is>
          <t>Postes</t>
        </is>
      </c>
      <c r="F73" s="163" t="inlineStr">
        <is>
          <t>Tonnes</t>
        </is>
      </c>
      <c r="G73" s="164" t="inlineStr">
        <is>
          <t>Productivity</t>
        </is>
      </c>
    </row>
    <row r="74">
      <c r="C74" s="165" t="inlineStr">
        <is>
          <t>Sum Tonnes : 246.06</t>
        </is>
      </c>
      <c r="D74" s="168" t="inlineStr">
        <is>
          <t>8105975:BONGARD SAS - 1900.0x1350.0x2.0</t>
        </is>
      </c>
      <c r="E74" s="168" t="n">
        <v>0.05</v>
      </c>
      <c r="F74" s="168" t="n">
        <v>2.5</v>
      </c>
      <c r="G74" s="169" t="n">
        <v>6.31</v>
      </c>
    </row>
    <row r="75">
      <c r="C75" s="165" t="inlineStr">
        <is>
          <t>Sum Postes : 11.6</t>
        </is>
      </c>
      <c r="D75" s="168" t="inlineStr">
        <is>
          <t>8105975:BONGARD SAS - 1900.0x1350.0x2.0</t>
        </is>
      </c>
      <c r="E75" s="168" t="n">
        <v>0.05</v>
      </c>
      <c r="F75" s="168" t="n">
        <v>2.5</v>
      </c>
      <c r="G75" s="169" t="n">
        <v>6.31</v>
      </c>
    </row>
    <row r="76">
      <c r="C76" s="165" t="inlineStr">
        <is>
          <t>Average Productivity : 2.83</t>
        </is>
      </c>
      <c r="D76" s="168" t="inlineStr">
        <is>
          <t>8105975:BONGARD SAS - 1900.0x1350.0x2.0</t>
        </is>
      </c>
      <c r="E76" s="168" t="n">
        <v>0.05</v>
      </c>
      <c r="F76" s="168" t="n">
        <v>2.5</v>
      </c>
      <c r="G76" s="169" t="n">
        <v>6.31</v>
      </c>
    </row>
    <row r="77">
      <c r="C77" s="172" t="n"/>
      <c r="D77" s="168" t="inlineStr">
        <is>
          <t>8105975:BONGARD SAS - 1900.0x1350.0x2.0</t>
        </is>
      </c>
      <c r="E77" s="168" t="n">
        <v>0.05</v>
      </c>
      <c r="F77" s="168" t="n">
        <v>2.5</v>
      </c>
      <c r="G77" s="169" t="n">
        <v>6.31</v>
      </c>
    </row>
    <row r="78">
      <c r="C78" s="172" t="n"/>
      <c r="D78" s="168" t="inlineStr">
        <is>
          <t>8033733:DE BUYER INDUSTRIES  SA - 565.0x360.0x1.2</t>
        </is>
      </c>
      <c r="E78" s="168" t="n">
        <v>0.57</v>
      </c>
      <c r="F78" s="168" t="n">
        <v>2</v>
      </c>
      <c r="G78" s="169" t="n">
        <v>0.47</v>
      </c>
    </row>
    <row r="79">
      <c r="C79" s="172" t="n"/>
      <c r="D79" s="168" t="inlineStr">
        <is>
          <t>8111528:HIROTEC Manufacturing Deutschland G - 296.0x633.0x0.7</t>
        </is>
      </c>
      <c r="E79" s="168" t="n">
        <v>1.81</v>
      </c>
      <c r="F79" s="168" t="n">
        <v>6.252</v>
      </c>
      <c r="G79" s="169" t="n">
        <v>0.46</v>
      </c>
    </row>
    <row r="80">
      <c r="C80" s="172" t="n"/>
      <c r="D80" s="168" t="inlineStr">
        <is>
          <t>8110544:HIROTEC Manufacturing Deutschland G - 326.0x538.0x0.7</t>
        </is>
      </c>
      <c r="E80" s="168" t="n">
        <v>1.1</v>
      </c>
      <c r="F80" s="168" t="n">
        <v>5.832</v>
      </c>
      <c r="G80" s="169" t="n">
        <v>0.71</v>
      </c>
    </row>
    <row r="81">
      <c r="C81" s="172" t="n"/>
      <c r="D81" s="168" t="inlineStr">
        <is>
          <t>8111524:HIROTEC Manufacturing Deutschland G - 1239.0x316.0x0.8</t>
        </is>
      </c>
      <c r="E81" s="168" t="n">
        <v>0.83</v>
      </c>
      <c r="F81" s="168" t="n">
        <v>12.32</v>
      </c>
      <c r="G81" s="169" t="n">
        <v>1.98</v>
      </c>
    </row>
    <row r="82">
      <c r="C82" s="172" t="n"/>
      <c r="D82" s="168" t="inlineStr">
        <is>
          <t>8012608:SNOP VILLEPINTE - 1700.0x490.0x0.8</t>
        </is>
      </c>
      <c r="E82" s="168" t="n">
        <v>0.19</v>
      </c>
      <c r="F82" s="168" t="n">
        <v>10</v>
      </c>
      <c r="G82" s="169" t="n">
        <v>7.17</v>
      </c>
    </row>
    <row r="83">
      <c r="C83" s="172" t="n"/>
      <c r="D83" s="168" t="inlineStr">
        <is>
          <t>8012605:SNOP VILLEPINTE - 530.0x650.0x2.5</t>
        </is>
      </c>
      <c r="E83" s="168" t="n">
        <v>0.34</v>
      </c>
      <c r="F83" s="168" t="n">
        <v>16.05</v>
      </c>
      <c r="G83" s="169" t="n">
        <v>6.29</v>
      </c>
    </row>
    <row r="84">
      <c r="C84" s="172" t="n"/>
      <c r="D84" s="168" t="inlineStr">
        <is>
          <t>8012603:SNOP VILLEPINTE - 465.0x725.0x1.7</t>
        </is>
      </c>
      <c r="E84" s="168" t="n">
        <v>0.29</v>
      </c>
      <c r="F84" s="168" t="n">
        <v>12.1</v>
      </c>
      <c r="G84" s="169" t="n">
        <v>5.58</v>
      </c>
    </row>
    <row r="85">
      <c r="C85" s="172" t="n"/>
      <c r="D85" s="168" t="inlineStr">
        <is>
          <t>8012606:SNOP VILLEPINTE - 400.0x550.0x1.5</t>
        </is>
      </c>
      <c r="E85" s="168" t="n">
        <v>0.17</v>
      </c>
      <c r="F85" s="168" t="n">
        <v>6.8</v>
      </c>
      <c r="G85" s="169" t="n">
        <v>5.48</v>
      </c>
    </row>
    <row r="86">
      <c r="C86" s="172" t="n"/>
      <c r="D86" s="168" t="inlineStr">
        <is>
          <t>8012568:GESTAMP NOURY S.A. - 1605.0x380.0x1.0</t>
        </is>
      </c>
      <c r="E86" s="168" t="n">
        <v>0.05</v>
      </c>
      <c r="F86" s="168" t="n">
        <v>2.56424</v>
      </c>
      <c r="G86" s="169" t="n">
        <v>6.4</v>
      </c>
    </row>
    <row r="87">
      <c r="C87" s="172" t="n"/>
      <c r="D87" s="168" t="inlineStr">
        <is>
          <t>8012572:GESTAMP NOURY S.A. - 1850.0x255.0x1.4</t>
        </is>
      </c>
      <c r="E87" s="168" t="n">
        <v>0.07000000000000001</v>
      </c>
      <c r="F87" s="168" t="n">
        <v>2.5965</v>
      </c>
      <c r="G87" s="169" t="n">
        <v>5.31</v>
      </c>
    </row>
    <row r="88">
      <c r="C88" s="172" t="n"/>
      <c r="D88" s="168" t="inlineStr">
        <is>
          <t>8018131:BENTELER CR s.r.o. CHRASTAVA - 796.0x235.0x1.4</t>
        </is>
      </c>
      <c r="E88" s="168" t="n">
        <v>0.52</v>
      </c>
      <c r="F88" s="168" t="n">
        <v>5.0525</v>
      </c>
      <c r="G88" s="169" t="n">
        <v>1.3</v>
      </c>
    </row>
    <row r="89">
      <c r="C89" s="172" t="n"/>
      <c r="D89" s="166" t="inlineStr">
        <is>
          <t>8016926:SNOP VILLEPINTE - 643.0x374.0x1.2</t>
        </is>
      </c>
      <c r="E89" s="166" t="n">
        <v>2.3</v>
      </c>
      <c r="F89" s="166" t="n">
        <v>1.38</v>
      </c>
      <c r="G89" s="167" t="n">
        <v>0.08</v>
      </c>
    </row>
    <row r="90">
      <c r="C90" s="172" t="n"/>
      <c r="D90" s="168" t="inlineStr">
        <is>
          <t>8032518:GEDIA POLAND SP Z.O.O - 1024.0x650.0x1.0</t>
        </is>
      </c>
      <c r="E90" s="168" t="n">
        <v>0.28</v>
      </c>
      <c r="F90" s="168" t="n">
        <v>13.2</v>
      </c>
      <c r="G90" s="169" t="n">
        <v>6.25</v>
      </c>
    </row>
    <row r="91">
      <c r="C91" s="172" t="n"/>
      <c r="D91" s="170" t="inlineStr">
        <is>
          <t>8032595:GEDIA POLAND SP Z.O.O - 1861.0x273.0x1.2</t>
        </is>
      </c>
      <c r="E91" s="170" t="n">
        <v>1.43</v>
      </c>
      <c r="F91" s="170" t="n">
        <v>72</v>
      </c>
      <c r="G91" s="171" t="n">
        <v>6.72</v>
      </c>
    </row>
    <row r="92">
      <c r="C92" s="172" t="n"/>
      <c r="D92" s="168" t="inlineStr">
        <is>
          <t>8055824:MARTINREA BERGNEUSTADT GmbH - 2077.0x367.0x2.0</t>
        </is>
      </c>
      <c r="E92" s="168" t="n">
        <v>0.64</v>
      </c>
      <c r="F92" s="168" t="n">
        <v>47.916</v>
      </c>
      <c r="G92" s="169" t="n">
        <v>9.92</v>
      </c>
    </row>
    <row r="93">
      <c r="C93" s="173" t="n"/>
      <c r="D93" s="174" t="inlineStr">
        <is>
          <t>8115339:SUNGWOO HITECH GmbH - 620.0x305.0x2.15</t>
        </is>
      </c>
      <c r="E93" s="174" t="n">
        <v>0.8100000000000001</v>
      </c>
      <c r="F93" s="174" t="n">
        <v>20</v>
      </c>
      <c r="G93" s="175" t="n">
        <v>3.28</v>
      </c>
    </row>
    <row r="97">
      <c r="C97" s="162" t="inlineStr">
        <is>
          <t>Details for : L1 proto - Postes Backlog</t>
        </is>
      </c>
      <c r="D97" s="163" t="inlineStr">
        <is>
          <t>Article : Client - Length x Width x Thickness</t>
        </is>
      </c>
      <c r="E97" s="163" t="inlineStr">
        <is>
          <t>Postes</t>
        </is>
      </c>
      <c r="F97" s="163" t="inlineStr">
        <is>
          <t>Tonnes</t>
        </is>
      </c>
      <c r="G97" s="164" t="inlineStr">
        <is>
          <t>Productivity</t>
        </is>
      </c>
    </row>
    <row r="98">
      <c r="C98" s="165" t="inlineStr">
        <is>
          <t>Sum Tonnes : 65.5</t>
        </is>
      </c>
      <c r="D98" s="168" t="inlineStr">
        <is>
          <t>8112219:ARCELORMITTAL PROTO FLORANGE - 500.0x1500.0x1.5</t>
        </is>
      </c>
      <c r="E98" s="168" t="n">
        <v>0.1</v>
      </c>
      <c r="F98" s="168" t="n">
        <v>0.74111</v>
      </c>
      <c r="G98" s="169" t="n">
        <v>1.02</v>
      </c>
    </row>
    <row r="99">
      <c r="C99" s="165" t="inlineStr">
        <is>
          <t>Sum Postes : 4.05</t>
        </is>
      </c>
      <c r="D99" s="168" t="inlineStr">
        <is>
          <t>8112230:ARCELORMITTAL PROTO FLORANGE - 500.0x1050.0x3.0</t>
        </is>
      </c>
      <c r="E99" s="168" t="n">
        <v>0.05</v>
      </c>
      <c r="F99" s="168" t="n">
        <v>1.04882</v>
      </c>
      <c r="G99" s="169" t="n">
        <v>2.92</v>
      </c>
    </row>
    <row r="100">
      <c r="C100" s="165" t="inlineStr">
        <is>
          <t>Average Productivity : 2.16</t>
        </is>
      </c>
      <c r="D100" s="166" t="inlineStr">
        <is>
          <t>8113441:ARCELORMITTAL PROTO FLORANGE - 1000.0x1176.0x0.73</t>
        </is>
      </c>
      <c r="E100" s="166" t="n">
        <v>0.15</v>
      </c>
      <c r="F100" s="166" t="n">
        <v>0.03409</v>
      </c>
      <c r="G100" s="167" t="n">
        <v>0.03</v>
      </c>
    </row>
    <row r="101">
      <c r="C101" s="172" t="n"/>
      <c r="D101" s="168" t="inlineStr">
        <is>
          <t>8113528:ARCELORMITTAL PROTO FLORANGE - 1000.0x1176.0x0.73</t>
        </is>
      </c>
      <c r="E101" s="168" t="n">
        <v>0.01</v>
      </c>
      <c r="F101" s="168" t="n">
        <v>0.06816999999999999</v>
      </c>
      <c r="G101" s="169" t="n">
        <v>0.8100000000000001</v>
      </c>
    </row>
    <row r="102">
      <c r="C102" s="172" t="n"/>
      <c r="D102" s="168" t="inlineStr">
        <is>
          <t>8113591:ARCELORMITTAL PROTO FLORANGE - 500.0x830.0x1.6</t>
        </is>
      </c>
      <c r="E102" s="168" t="n">
        <v>0.2</v>
      </c>
      <c r="F102" s="168" t="n">
        <v>0.2665</v>
      </c>
      <c r="G102" s="169" t="n">
        <v>0.18</v>
      </c>
    </row>
    <row r="103">
      <c r="C103" s="172" t="n"/>
      <c r="D103" s="168" t="inlineStr">
        <is>
          <t>8113664:ARCELORMITTAL PROTO FLORANGE - 500.0x830.0x1.6</t>
        </is>
      </c>
      <c r="E103" s="168" t="n">
        <v>0.59</v>
      </c>
      <c r="F103" s="168" t="n">
        <v>0.2651</v>
      </c>
      <c r="G103" s="169" t="n">
        <v>0.06</v>
      </c>
    </row>
    <row r="104">
      <c r="C104" s="172" t="n"/>
      <c r="D104" s="168" t="inlineStr">
        <is>
          <t>8115464:ARCELORMITTAL PROTO FLORANGE - 783.8x1390.0x2.0</t>
        </is>
      </c>
      <c r="E104" s="168" t="n">
        <v>0.03</v>
      </c>
      <c r="F104" s="168" t="n">
        <v>0.8489</v>
      </c>
      <c r="G104" s="169" t="n">
        <v>3.86</v>
      </c>
    </row>
    <row r="105">
      <c r="C105" s="172" t="n"/>
      <c r="D105" s="168" t="inlineStr">
        <is>
          <t>8116708:ARCELORMITTAL PROTO FLORANGE - 2000.0x1359.0x2.0</t>
        </is>
      </c>
      <c r="E105" s="168" t="n">
        <v>0.13</v>
      </c>
      <c r="F105" s="168" t="n">
        <v>2.114</v>
      </c>
      <c r="G105" s="169" t="n">
        <v>2.24</v>
      </c>
    </row>
    <row r="106">
      <c r="C106" s="172" t="n"/>
      <c r="D106" s="168" t="inlineStr">
        <is>
          <t>8115519:ARCELORMITTAL PROTO FLORANGE - 1400.0x300.0x1.5</t>
        </is>
      </c>
      <c r="E106" s="168" t="n">
        <v>0.2</v>
      </c>
      <c r="F106" s="168" t="n">
        <v>2.511</v>
      </c>
      <c r="G106" s="169" t="n">
        <v>1.67</v>
      </c>
    </row>
    <row r="107">
      <c r="C107" s="172" t="n"/>
      <c r="D107" s="168" t="inlineStr">
        <is>
          <t>8115585:ARCELORMITTAL PROTO FLORANGE - 1600.0x595.0x1.0</t>
        </is>
      </c>
      <c r="E107" s="168" t="n">
        <v>0.13</v>
      </c>
      <c r="F107" s="168" t="n">
        <v>3.696</v>
      </c>
      <c r="G107" s="169" t="n">
        <v>3.85</v>
      </c>
    </row>
    <row r="108">
      <c r="C108" s="172" t="n"/>
      <c r="D108" s="168" t="inlineStr">
        <is>
          <t>8115588:ARCELORMITTAL PROTO FLORANGE - 1600.0x595.0x1.2</t>
        </is>
      </c>
      <c r="E108" s="168" t="n">
        <v>0.54</v>
      </c>
      <c r="F108" s="168" t="n">
        <v>4.4575</v>
      </c>
      <c r="G108" s="169" t="n">
        <v>1.11</v>
      </c>
    </row>
    <row r="109">
      <c r="C109" s="172" t="n"/>
      <c r="D109" s="168" t="inlineStr">
        <is>
          <t>8115590:ARCELORMITTAL PROTO FLORANGE - 2000.0x1350.0x1.6</t>
        </is>
      </c>
      <c r="E109" s="168" t="n">
        <v>0.15</v>
      </c>
      <c r="F109" s="168" t="n">
        <v>3.3593</v>
      </c>
      <c r="G109" s="169" t="n">
        <v>2.9</v>
      </c>
    </row>
    <row r="110">
      <c r="C110" s="172" t="n"/>
      <c r="D110" s="168" t="inlineStr">
        <is>
          <t>8115747:ARCELORMITTAL PROTO FLORANGE - 500.0x1700.0x1.5</t>
        </is>
      </c>
      <c r="E110" s="168" t="n">
        <v>0.08</v>
      </c>
      <c r="F110" s="168" t="n">
        <v>1.9838</v>
      </c>
      <c r="G110" s="169" t="n">
        <v>3.33</v>
      </c>
    </row>
    <row r="111">
      <c r="C111" s="172" t="n"/>
      <c r="D111" s="168" t="inlineStr">
        <is>
          <t>8115785:ARCELORMITTAL PROTO FLORANGE - 1805.0x1210.0x1.2</t>
        </is>
      </c>
      <c r="E111" s="168" t="n">
        <v>0.24</v>
      </c>
      <c r="F111" s="168" t="n">
        <v>0.30412</v>
      </c>
      <c r="G111" s="169" t="n">
        <v>0.17</v>
      </c>
    </row>
    <row r="112">
      <c r="C112" s="172" t="n"/>
      <c r="D112" s="168" t="inlineStr">
        <is>
          <t>8116148:ARCELORMITTAL PROTO FLORANGE - 420.0x1120.0x0.8</t>
        </is>
      </c>
      <c r="E112" s="168" t="n">
        <v>0.21</v>
      </c>
      <c r="F112" s="168" t="n">
        <v>0.5944</v>
      </c>
      <c r="G112" s="169" t="n">
        <v>0.38</v>
      </c>
    </row>
    <row r="113">
      <c r="C113" s="172" t="n"/>
      <c r="D113" s="168" t="inlineStr">
        <is>
          <t>8116647:ARCELORMITTAL PROTO FLORANGE - 800.0x1700.0x1.5</t>
        </is>
      </c>
      <c r="E113" s="168" t="n">
        <v>0.01</v>
      </c>
      <c r="F113" s="168" t="n">
        <v>0.3155</v>
      </c>
      <c r="G113" s="169" t="n">
        <v>3.33</v>
      </c>
    </row>
    <row r="114">
      <c r="C114" s="172" t="n"/>
      <c r="D114" s="168" t="inlineStr">
        <is>
          <t>8116648:ARCELORMITTAL PROTO FLORANGE - 800.0x1460.0x1.5</t>
        </is>
      </c>
      <c r="E114" s="168" t="n">
        <v>0.08</v>
      </c>
      <c r="F114" s="168" t="n">
        <v>0.2713</v>
      </c>
      <c r="G114" s="169" t="n">
        <v>0.48</v>
      </c>
    </row>
    <row r="115">
      <c r="C115" s="172" t="n"/>
      <c r="D115" s="168" t="inlineStr">
        <is>
          <t>8117377:RENAULT TECHNOLOGIE ROUMANIE SRL - 1150.0x1830.0x0.72</t>
        </is>
      </c>
      <c r="E115" s="168" t="n">
        <v>0.32</v>
      </c>
      <c r="F115" s="168" t="n">
        <v>7.2784</v>
      </c>
      <c r="G115" s="169" t="n">
        <v>3.02</v>
      </c>
    </row>
    <row r="116">
      <c r="C116" s="172" t="n"/>
      <c r="D116" s="168" t="inlineStr">
        <is>
          <t>8116732:ARCELORMITTAL PROTO FLORANGE - 500.0x1280.0x1.5</t>
        </is>
      </c>
      <c r="E116" s="168" t="n">
        <v>0.01</v>
      </c>
      <c r="F116" s="168" t="n">
        <v>0.22797</v>
      </c>
      <c r="G116" s="169" t="n">
        <v>3.33</v>
      </c>
    </row>
    <row r="117">
      <c r="C117" s="172" t="n"/>
      <c r="D117" s="168" t="inlineStr">
        <is>
          <t>8116736:ARCELORMITTAL PROTO FLORANGE - 1000.0x1280.0x1.5</t>
        </is>
      </c>
      <c r="E117" s="168" t="n">
        <v>0.02</v>
      </c>
      <c r="F117" s="168" t="n">
        <v>0.45459</v>
      </c>
      <c r="G117" s="169" t="n">
        <v>3.33</v>
      </c>
    </row>
    <row r="118">
      <c r="C118" s="172" t="n"/>
      <c r="D118" s="168" t="inlineStr">
        <is>
          <t>8116962:ARCELORMITTAL PROTO FLORANGE - 500.0x1280.0x1.5</t>
        </is>
      </c>
      <c r="E118" s="168" t="n">
        <v>0.01</v>
      </c>
      <c r="F118" s="168" t="n">
        <v>0.22797</v>
      </c>
      <c r="G118" s="169" t="n">
        <v>3.33</v>
      </c>
    </row>
    <row r="119">
      <c r="C119" s="172" t="n"/>
      <c r="D119" s="168" t="inlineStr">
        <is>
          <t>8116966:ARCELORMITTAL PROTO FLORANGE - 1000.0x1280.0x1.5</t>
        </is>
      </c>
      <c r="E119" s="168" t="n">
        <v>0.02</v>
      </c>
      <c r="F119" s="168" t="n">
        <v>0.45459</v>
      </c>
      <c r="G119" s="169" t="n">
        <v>3.33</v>
      </c>
    </row>
    <row r="120">
      <c r="C120" s="172" t="n"/>
      <c r="D120" s="168" t="inlineStr">
        <is>
          <t>8116952:ARCELORMITTAL PROTO FLORANGE - 1000.0x1004.0x1.0</t>
        </is>
      </c>
      <c r="E120" s="168" t="n">
        <v>0.01</v>
      </c>
      <c r="F120" s="168" t="n">
        <v>0.15968</v>
      </c>
      <c r="G120" s="169" t="n">
        <v>3.85</v>
      </c>
    </row>
    <row r="121">
      <c r="C121" s="172" t="n"/>
      <c r="D121" s="168" t="inlineStr">
        <is>
          <t>8116955:ARCELORMITTAL PROTO FLORANGE - 1000.0x1004.0x1.0</t>
        </is>
      </c>
      <c r="E121" s="168" t="n">
        <v>0.01</v>
      </c>
      <c r="F121" s="168" t="n">
        <v>0.3992</v>
      </c>
      <c r="G121" s="169" t="n">
        <v>3.85</v>
      </c>
    </row>
    <row r="122">
      <c r="C122" s="172" t="n"/>
      <c r="D122" s="168" t="inlineStr">
        <is>
          <t>8116958:ARCELORMITTAL PROTO FLORANGE - 1000.0x1004.0x1.0</t>
        </is>
      </c>
      <c r="E122" s="168" t="n">
        <v>0.01</v>
      </c>
      <c r="F122" s="168" t="n">
        <v>0.15968</v>
      </c>
      <c r="G122" s="169" t="n">
        <v>3.85</v>
      </c>
    </row>
    <row r="123">
      <c r="C123" s="172" t="n"/>
      <c r="D123" s="168" t="inlineStr">
        <is>
          <t>8117031:ARCELORMITTAL PROTO FLORANGE - 1000.0x1004.0x1.0</t>
        </is>
      </c>
      <c r="E123" s="168" t="n">
        <v>0.01</v>
      </c>
      <c r="F123" s="168" t="n">
        <v>0.3992</v>
      </c>
      <c r="G123" s="169" t="n">
        <v>3.85</v>
      </c>
    </row>
    <row r="124">
      <c r="C124" s="172" t="n"/>
      <c r="D124" s="168" t="inlineStr">
        <is>
          <t>8117032:ARCELORMITTAL PROTO FLORANGE - 1000.0x1004.0x1.0</t>
        </is>
      </c>
      <c r="E124" s="168" t="n">
        <v>0.01</v>
      </c>
      <c r="F124" s="168" t="n">
        <v>0.15968</v>
      </c>
      <c r="G124" s="169" t="n">
        <v>3.85</v>
      </c>
    </row>
    <row r="125">
      <c r="C125" s="172" t="n"/>
      <c r="D125" s="168" t="inlineStr">
        <is>
          <t>8117033:ARCELORMITTAL PROTO FLORANGE - 1000.0x1004.0x1.0</t>
        </is>
      </c>
      <c r="E125" s="168" t="n">
        <v>0.01</v>
      </c>
      <c r="F125" s="168" t="n">
        <v>0.3992</v>
      </c>
      <c r="G125" s="169" t="n">
        <v>3.85</v>
      </c>
    </row>
    <row r="126">
      <c r="C126" s="172" t="n"/>
      <c r="D126" s="168" t="inlineStr">
        <is>
          <t>8117036:ARCELORMITTAL PROTO FLORANGE - 1000.0x1002.0x1.0</t>
        </is>
      </c>
      <c r="E126" s="168" t="n">
        <v>0.01</v>
      </c>
      <c r="F126" s="168" t="n">
        <v>0.15936</v>
      </c>
      <c r="G126" s="169" t="n">
        <v>3.85</v>
      </c>
    </row>
    <row r="127">
      <c r="C127" s="172" t="n"/>
      <c r="D127" s="168" t="inlineStr">
        <is>
          <t>8117037:ARCELORMITTAL PROTO FLORANGE - 1000.0x1002.0x1.0</t>
        </is>
      </c>
      <c r="E127" s="168" t="n">
        <v>0.01</v>
      </c>
      <c r="F127" s="168" t="n">
        <v>0.3984</v>
      </c>
      <c r="G127" s="169" t="n">
        <v>3.85</v>
      </c>
    </row>
    <row r="128">
      <c r="C128" s="172" t="n"/>
      <c r="D128" s="168" t="inlineStr">
        <is>
          <t>8117038:ARCELORMITTAL PROTO FLORANGE - 1000.0x1002.0x1.0</t>
        </is>
      </c>
      <c r="E128" s="168" t="n">
        <v>0.01</v>
      </c>
      <c r="F128" s="168" t="n">
        <v>0.15936</v>
      </c>
      <c r="G128" s="169" t="n">
        <v>3.85</v>
      </c>
    </row>
    <row r="129">
      <c r="C129" s="172" t="n"/>
      <c r="D129" s="168" t="inlineStr">
        <is>
          <t>8117039:ARCELORMITTAL PROTO FLORANGE - 1000.0x1002.0x1.0</t>
        </is>
      </c>
      <c r="E129" s="168" t="n">
        <v>0.01</v>
      </c>
      <c r="F129" s="168" t="n">
        <v>0.3984</v>
      </c>
      <c r="G129" s="169" t="n">
        <v>3.85</v>
      </c>
    </row>
    <row r="130">
      <c r="C130" s="172" t="n"/>
      <c r="D130" s="168" t="inlineStr">
        <is>
          <t>8117050:ARCELORMITTAL PROTO FLORANGE - 1000.0x1002.0x1.0</t>
        </is>
      </c>
      <c r="E130" s="168" t="n">
        <v>0.01</v>
      </c>
      <c r="F130" s="168" t="n">
        <v>0.15936</v>
      </c>
      <c r="G130" s="169" t="n">
        <v>3.85</v>
      </c>
    </row>
    <row r="131">
      <c r="C131" s="172" t="n"/>
      <c r="D131" s="168" t="inlineStr">
        <is>
          <t>8117051:ARCELORMITTAL PROTO FLORANGE - 1000.0x1002.0x1.0</t>
        </is>
      </c>
      <c r="E131" s="168" t="n">
        <v>0.01</v>
      </c>
      <c r="F131" s="168" t="n">
        <v>0.3984</v>
      </c>
      <c r="G131" s="169" t="n">
        <v>3.85</v>
      </c>
    </row>
    <row r="132">
      <c r="C132" s="172" t="n"/>
      <c r="D132" s="168" t="inlineStr">
        <is>
          <t>8118427:ARCELORMITTAL PROTO FLORANGE - 1700.0x1500.0x1.7</t>
        </is>
      </c>
      <c r="E132" s="168" t="n">
        <v>0.2</v>
      </c>
      <c r="F132" s="168" t="n">
        <v>8.72378</v>
      </c>
      <c r="G132" s="169" t="n">
        <v>5.82</v>
      </c>
    </row>
    <row r="133">
      <c r="C133" s="172" t="n"/>
      <c r="D133" s="170" t="inlineStr">
        <is>
          <t>8118475:ARCELORMITTAL PROTO FLORANGE - 1300.0x1500.0x1.3</t>
        </is>
      </c>
      <c r="E133" s="170" t="n">
        <v>0.22</v>
      </c>
      <c r="F133" s="170" t="n">
        <v>12.69125</v>
      </c>
      <c r="G133" s="171" t="n">
        <v>7.87</v>
      </c>
    </row>
    <row r="134">
      <c r="C134" s="173" t="n"/>
      <c r="D134" s="174" t="inlineStr">
        <is>
          <t>8118476:ARCELORMITTAL PROTO FLORANGE - 1300.0x1090.0x1.3</t>
        </is>
      </c>
      <c r="E134" s="174" t="n">
        <v>0.23</v>
      </c>
      <c r="F134" s="174" t="n">
        <v>9.214399999999999</v>
      </c>
      <c r="G134" s="175" t="n">
        <v>5.24</v>
      </c>
    </row>
    <row r="138">
      <c r="C138" s="162" t="inlineStr">
        <is>
          <t xml:space="preserve">Details for : L1 proto - Postes Forecast W15 </t>
        </is>
      </c>
      <c r="D138" s="163" t="inlineStr">
        <is>
          <t>Article : Client - Length x Width x Thickness</t>
        </is>
      </c>
      <c r="E138" s="163" t="inlineStr">
        <is>
          <t>Postes</t>
        </is>
      </c>
      <c r="F138" s="163" t="inlineStr">
        <is>
          <t>Tonnes</t>
        </is>
      </c>
      <c r="G138" s="164" t="inlineStr">
        <is>
          <t>Productivity</t>
        </is>
      </c>
    </row>
    <row r="139">
      <c r="C139" s="165" t="inlineStr">
        <is>
          <t>Sum Tonnes : 0.68</t>
        </is>
      </c>
      <c r="D139" s="170" t="inlineStr">
        <is>
          <t>8119017:ARCELORMITTAL PROTO FLORANGE - 1000.0x1045.0x1.1</t>
        </is>
      </c>
      <c r="E139" s="170" t="n">
        <v>0.01</v>
      </c>
      <c r="F139" s="170" t="n">
        <v>0.27216</v>
      </c>
      <c r="G139" s="171" t="n">
        <v>3.33</v>
      </c>
    </row>
    <row r="140">
      <c r="C140" s="165" t="inlineStr">
        <is>
          <t>Sum Postes : 0.03</t>
        </is>
      </c>
      <c r="D140" s="166" t="inlineStr">
        <is>
          <t>8119024:ARCELORMITTAL PROTO FLORANGE - 500.0x1045.0x1.1</t>
        </is>
      </c>
      <c r="E140" s="166" t="n">
        <v>0.01</v>
      </c>
      <c r="F140" s="166" t="n">
        <v>0.1365</v>
      </c>
      <c r="G140" s="167" t="n">
        <v>3.33</v>
      </c>
    </row>
    <row r="141">
      <c r="C141" s="176" t="inlineStr">
        <is>
          <t>Average Productivity : 3.03</t>
        </is>
      </c>
      <c r="D141" s="177" t="inlineStr">
        <is>
          <t>8119026:ARCELORMITTAL PROTO FLORANGE - 1000.0x1045.0x1.1</t>
        </is>
      </c>
      <c r="E141" s="177" t="n">
        <v>0.01</v>
      </c>
      <c r="F141" s="177" t="n">
        <v>0.27216</v>
      </c>
      <c r="G141" s="178" t="n">
        <v>3.33</v>
      </c>
    </row>
    <row r="145">
      <c r="C145" s="162" t="inlineStr">
        <is>
          <t xml:space="preserve">Details for : L1 proto - Postes Forecast W16 </t>
        </is>
      </c>
      <c r="D145" s="163" t="inlineStr">
        <is>
          <t>Article : Client - Length x Width x Thickness</t>
        </is>
      </c>
      <c r="E145" s="163" t="inlineStr">
        <is>
          <t>Postes</t>
        </is>
      </c>
      <c r="F145" s="163" t="inlineStr">
        <is>
          <t>Tonnes</t>
        </is>
      </c>
      <c r="G145" s="164" t="inlineStr">
        <is>
          <t>Productivity</t>
        </is>
      </c>
    </row>
    <row r="146">
      <c r="C146" s="165" t="inlineStr">
        <is>
          <t>Sum Tonnes : 1.42</t>
        </is>
      </c>
      <c r="D146" s="168" t="inlineStr">
        <is>
          <t>8118382:ARCELORMITTAL PROTO FLORANGE - 500.0x1115.0x1.2</t>
        </is>
      </c>
      <c r="E146" s="168" t="n">
        <v>0</v>
      </c>
      <c r="F146" s="168" t="n">
        <v>0.07743</v>
      </c>
      <c r="G146" s="169" t="n">
        <v>3.33</v>
      </c>
    </row>
    <row r="147">
      <c r="C147" s="165" t="inlineStr">
        <is>
          <t>Sum Postes : 0.05</t>
        </is>
      </c>
      <c r="D147" s="166" t="inlineStr">
        <is>
          <t>8118942:ARCELORMITTAL PROTO FLORANGE - 1300.0x1229.0x1.5</t>
        </is>
      </c>
      <c r="E147" s="166" t="n">
        <v>0</v>
      </c>
      <c r="F147" s="166" t="n">
        <v>0.05561</v>
      </c>
      <c r="G147" s="167" t="n">
        <v>3.33</v>
      </c>
    </row>
    <row r="148">
      <c r="C148" s="176" t="inlineStr">
        <is>
          <t>Average Productivity : 3.79</t>
        </is>
      </c>
      <c r="D148" s="177" t="inlineStr">
        <is>
          <t>8119177:ARCELORMITTAL PROTO FLORANGE - 300.0x500.0x1.2</t>
        </is>
      </c>
      <c r="E148" s="177" t="n">
        <v>0.05</v>
      </c>
      <c r="F148" s="177" t="n">
        <v>1.2888</v>
      </c>
      <c r="G148" s="178" t="n">
        <v>3.33</v>
      </c>
    </row>
    <row r="152">
      <c r="C152" s="162" t="inlineStr">
        <is>
          <t xml:space="preserve">Details for : L1 proto - Postes Forecast W17 </t>
        </is>
      </c>
      <c r="D152" s="163" t="inlineStr">
        <is>
          <t>Article : Client - Length x Width x Thickness</t>
        </is>
      </c>
      <c r="E152" s="163" t="inlineStr">
        <is>
          <t>Postes</t>
        </is>
      </c>
      <c r="F152" s="163" t="inlineStr">
        <is>
          <t>Tonnes</t>
        </is>
      </c>
      <c r="G152" s="164" t="inlineStr">
        <is>
          <t>Productivity</t>
        </is>
      </c>
    </row>
    <row r="153">
      <c r="C153" s="165" t="inlineStr">
        <is>
          <t>Sum Tonnes : 2.85</t>
        </is>
      </c>
      <c r="D153" s="170" t="inlineStr">
        <is>
          <t>8118945:ARCELORMITTAL PROTO FLORANGE - 1500.0x1200.0x2.0</t>
        </is>
      </c>
      <c r="E153" s="170" t="n">
        <v>0.1</v>
      </c>
      <c r="F153" s="170" t="n">
        <v>2.8463</v>
      </c>
      <c r="G153" s="171" t="n">
        <v>3.86</v>
      </c>
    </row>
    <row r="154">
      <c r="C154" s="165" t="inlineStr">
        <is>
          <t>Sum Postes : 0.1</t>
        </is>
      </c>
      <c r="D154" s="168" t="n"/>
      <c r="E154" s="168" t="n"/>
      <c r="F154" s="168" t="n"/>
      <c r="G154" s="169" t="n"/>
    </row>
    <row r="155">
      <c r="C155" s="176" t="inlineStr">
        <is>
          <t>Average Productivity : 3.8</t>
        </is>
      </c>
      <c r="D155" s="174" t="n"/>
      <c r="E155" s="174" t="n"/>
      <c r="F155" s="174" t="n"/>
      <c r="G155" s="175" t="n"/>
    </row>
    <row r="159">
      <c r="C159" s="162" t="inlineStr">
        <is>
          <t xml:space="preserve">Details for : L1 proto - Postes Forecast W18 </t>
        </is>
      </c>
      <c r="D159" s="163" t="inlineStr">
        <is>
          <t>Article : Client - Length x Width x Thickness</t>
        </is>
      </c>
      <c r="E159" s="163" t="inlineStr">
        <is>
          <t>Postes</t>
        </is>
      </c>
      <c r="F159" s="163" t="inlineStr">
        <is>
          <t>Tonnes</t>
        </is>
      </c>
      <c r="G159" s="164" t="inlineStr">
        <is>
          <t>Productivity</t>
        </is>
      </c>
    </row>
    <row r="160">
      <c r="C160" s="165" t="inlineStr">
        <is>
          <t>Sum Tonnes : 14.7</t>
        </is>
      </c>
      <c r="D160" s="170" t="inlineStr">
        <is>
          <t>8115281:ARCELORMITTAL PROTO FLORANGE - 3590.0x1820.0x0.7</t>
        </is>
      </c>
      <c r="E160" s="170" t="n">
        <v>0.58</v>
      </c>
      <c r="F160" s="170" t="n">
        <v>14.3832</v>
      </c>
      <c r="G160" s="171" t="n">
        <v>3.33</v>
      </c>
    </row>
    <row r="161">
      <c r="C161" s="165" t="inlineStr">
        <is>
          <t>Sum Postes : 0.58</t>
        </is>
      </c>
      <c r="D161" s="168" t="inlineStr">
        <is>
          <t>8118771:ARCELORMITTAL PROTO FLORANGE - 1250.0x1600.0x1.2</t>
        </is>
      </c>
      <c r="E161" s="168" t="n">
        <v>0</v>
      </c>
      <c r="F161" s="168" t="n">
        <v>0.09449</v>
      </c>
      <c r="G161" s="169" t="n">
        <v>3.33</v>
      </c>
    </row>
    <row r="162">
      <c r="C162" s="165" t="inlineStr">
        <is>
          <t>Average Productivity : 3.38</t>
        </is>
      </c>
      <c r="D162" s="166" t="inlineStr">
        <is>
          <t>8118780:ARCELORMITTAL PROTO FLORANGE - 1250.0x1110.0x1.15</t>
        </is>
      </c>
      <c r="E162" s="166" t="n">
        <v>0</v>
      </c>
      <c r="F162" s="166" t="n">
        <v>0.06283999999999999</v>
      </c>
      <c r="G162" s="167" t="n">
        <v>3.33</v>
      </c>
    </row>
    <row r="163">
      <c r="C163" s="172" t="n"/>
      <c r="D163" s="168" t="inlineStr">
        <is>
          <t>8118968:ARCELORMITTAL PROTO FLORANGE - 1250.0x1140.0x1.5</t>
        </is>
      </c>
      <c r="E163" s="168" t="n">
        <v>0</v>
      </c>
      <c r="F163" s="168" t="n">
        <v>0.08418</v>
      </c>
      <c r="G163" s="169" t="n">
        <v>3.33</v>
      </c>
    </row>
    <row r="164">
      <c r="C164" s="173" t="n"/>
      <c r="D164" s="174" t="inlineStr">
        <is>
          <t>8118969:ARCELORMITTAL PROTO FLORANGE - 1250.0x1545.0x0.95</t>
        </is>
      </c>
      <c r="E164" s="174" t="n">
        <v>0</v>
      </c>
      <c r="F164" s="174" t="n">
        <v>0.07222000000000001</v>
      </c>
      <c r="G164" s="175" t="n">
        <v>3.33</v>
      </c>
    </row>
    <row r="168">
      <c r="C168" s="162" t="inlineStr">
        <is>
          <t xml:space="preserve">Details for : L1 proto - Postes Forecast W19 </t>
        </is>
      </c>
      <c r="D168" s="163" t="inlineStr">
        <is>
          <t>Article : Client - Length x Width x Thickness</t>
        </is>
      </c>
      <c r="E168" s="163" t="inlineStr">
        <is>
          <t>Postes</t>
        </is>
      </c>
      <c r="F168" s="163" t="inlineStr">
        <is>
          <t>Tonnes</t>
        </is>
      </c>
      <c r="G168" s="164" t="inlineStr">
        <is>
          <t>Productivity</t>
        </is>
      </c>
    </row>
    <row r="169">
      <c r="C169" s="165" t="inlineStr">
        <is>
          <t>Sum Tonnes : 1.22</t>
        </is>
      </c>
      <c r="D169" s="166" t="inlineStr">
        <is>
          <t>8119253:ARCELORMITTAL PROTO FLORANGE - 2000.0x1370.0x1.1</t>
        </is>
      </c>
      <c r="E169" s="166" t="n">
        <v>0.02</v>
      </c>
      <c r="F169" s="166" t="n">
        <v>0.4624</v>
      </c>
      <c r="G169" s="167" t="n">
        <v>3.33</v>
      </c>
    </row>
    <row r="170">
      <c r="C170" s="165" t="inlineStr">
        <is>
          <t>Sum Postes : 0.05</t>
        </is>
      </c>
      <c r="D170" s="170" t="inlineStr">
        <is>
          <t>8119255:ARCELORMITTAL PROTO FLORANGE - 2000.0x1360.0x1.8</t>
        </is>
      </c>
      <c r="E170" s="170" t="n">
        <v>0.03</v>
      </c>
      <c r="F170" s="170" t="n">
        <v>0.75908</v>
      </c>
      <c r="G170" s="171" t="n">
        <v>3.33</v>
      </c>
    </row>
    <row r="171">
      <c r="C171" s="176" t="inlineStr">
        <is>
          <t>Average Productivity : 3.26</t>
        </is>
      </c>
      <c r="D171" s="174" t="n"/>
      <c r="E171" s="174" t="n"/>
      <c r="F171" s="174" t="n"/>
      <c r="G171" s="175" t="n"/>
    </row>
    <row r="175">
      <c r="C175" s="162" t="inlineStr">
        <is>
          <t>Details for : LASS1, serie - Postes Backlog</t>
        </is>
      </c>
      <c r="D175" s="163" t="inlineStr">
        <is>
          <t>Article : Client - Length x Width x Thickness</t>
        </is>
      </c>
      <c r="E175" s="163" t="inlineStr">
        <is>
          <t>Postes</t>
        </is>
      </c>
      <c r="F175" s="163" t="inlineStr">
        <is>
          <t>Tonnes</t>
        </is>
      </c>
      <c r="G175" s="164" t="inlineStr">
        <is>
          <t>Productivity</t>
        </is>
      </c>
    </row>
    <row r="176">
      <c r="C176" s="165" t="inlineStr">
        <is>
          <t>Sum Tonnes : 1.37</t>
        </is>
      </c>
      <c r="D176" s="170" t="inlineStr">
        <is>
          <t>8071005:SNOP VILLEPINTE - 0.0x0.0x1.8</t>
        </is>
      </c>
      <c r="E176" s="170" t="n">
        <v>0.43</v>
      </c>
      <c r="F176" s="170" t="n">
        <v>1.366</v>
      </c>
      <c r="G176" s="171" t="n">
        <v>0.42</v>
      </c>
    </row>
    <row r="177">
      <c r="C177" s="165" t="inlineStr">
        <is>
          <t>Sum Postes : 0.43</t>
        </is>
      </c>
      <c r="D177" s="168" t="n"/>
      <c r="E177" s="168" t="n"/>
      <c r="F177" s="168" t="n"/>
      <c r="G177" s="169" t="n"/>
    </row>
    <row r="178">
      <c r="C178" s="176" t="inlineStr">
        <is>
          <t>Average Productivity : 0.42</t>
        </is>
      </c>
      <c r="D178" s="174" t="n"/>
      <c r="E178" s="174" t="n"/>
      <c r="F178" s="174" t="n"/>
      <c r="G178" s="175" t="n"/>
    </row>
    <row r="182">
      <c r="C182" s="162" t="inlineStr">
        <is>
          <t xml:space="preserve">Details for : LASS1, serie - Postes Forecast W15 </t>
        </is>
      </c>
      <c r="D182" s="163" t="inlineStr">
        <is>
          <t>Article : Client - Length x Width x Thickness</t>
        </is>
      </c>
      <c r="E182" s="163" t="inlineStr">
        <is>
          <t>Postes</t>
        </is>
      </c>
      <c r="F182" s="163" t="inlineStr">
        <is>
          <t>Tonnes</t>
        </is>
      </c>
      <c r="G182" s="164" t="inlineStr">
        <is>
          <t>Productivity</t>
        </is>
      </c>
    </row>
    <row r="183">
      <c r="C183" s="165" t="inlineStr">
        <is>
          <t>Sum Tonnes : 1.36</t>
        </is>
      </c>
      <c r="D183" s="170" t="inlineStr">
        <is>
          <t>8071005:SNOP VILLEPINTE - 0.0x0.0x1.8</t>
        </is>
      </c>
      <c r="E183" s="170" t="n">
        <v>0.43</v>
      </c>
      <c r="F183" s="170" t="n">
        <v>1.365</v>
      </c>
      <c r="G183" s="171" t="n">
        <v>0.42</v>
      </c>
    </row>
    <row r="184">
      <c r="C184" s="165" t="inlineStr">
        <is>
          <t>Sum Postes : 0.43</t>
        </is>
      </c>
      <c r="D184" s="168" t="n"/>
      <c r="E184" s="168" t="n"/>
      <c r="F184" s="168" t="n"/>
      <c r="G184" s="169" t="n"/>
    </row>
    <row r="185">
      <c r="C185" s="176" t="inlineStr">
        <is>
          <t>Average Productivity : 0.42</t>
        </is>
      </c>
      <c r="D185" s="174" t="n"/>
      <c r="E185" s="174" t="n"/>
      <c r="F185" s="174" t="n"/>
      <c r="G185" s="175" t="n"/>
    </row>
    <row r="189">
      <c r="C189" s="162" t="inlineStr">
        <is>
          <t xml:space="preserve">Details for : LASS1, serie - Postes Forecast W16 </t>
        </is>
      </c>
      <c r="D189" s="163" t="inlineStr">
        <is>
          <t>Article : Client - Length x Width x Thickness</t>
        </is>
      </c>
      <c r="E189" s="163" t="inlineStr">
        <is>
          <t>Postes</t>
        </is>
      </c>
      <c r="F189" s="163" t="inlineStr">
        <is>
          <t>Tonnes</t>
        </is>
      </c>
      <c r="G189" s="164" t="inlineStr">
        <is>
          <t>Productivity</t>
        </is>
      </c>
    </row>
    <row r="190">
      <c r="C190" s="165" t="inlineStr">
        <is>
          <t>Sum Tonnes : 29.08</t>
        </is>
      </c>
      <c r="D190" s="170" t="inlineStr">
        <is>
          <t>8018115:SODECIA AUTOMOTIVE SAARLOUIS GMBH - 0.0x0.0x1.8</t>
        </is>
      </c>
      <c r="E190" s="170" t="n">
        <v>7.05</v>
      </c>
      <c r="F190" s="170" t="n">
        <v>29.08125</v>
      </c>
      <c r="G190" s="171" t="n">
        <v>0.55</v>
      </c>
    </row>
    <row r="191">
      <c r="C191" s="165" t="inlineStr">
        <is>
          <t>Sum Postes : 7.05</t>
        </is>
      </c>
      <c r="D191" s="168" t="n"/>
      <c r="E191" s="168" t="n"/>
      <c r="F191" s="168" t="n"/>
      <c r="G191" s="169" t="n"/>
    </row>
    <row r="192">
      <c r="C192" s="176" t="inlineStr">
        <is>
          <t>Average Productivity : 0.55</t>
        </is>
      </c>
      <c r="D192" s="174" t="n"/>
      <c r="E192" s="174" t="n"/>
      <c r="F192" s="174" t="n"/>
      <c r="G192" s="175" t="n"/>
    </row>
    <row r="196">
      <c r="C196" s="162" t="inlineStr">
        <is>
          <t xml:space="preserve">Details for : LASS1, serie - Postes Forecast W19 </t>
        </is>
      </c>
      <c r="D196" s="163" t="inlineStr">
        <is>
          <t>Article : Client - Length x Width x Thickness</t>
        </is>
      </c>
      <c r="E196" s="163" t="inlineStr">
        <is>
          <t>Postes</t>
        </is>
      </c>
      <c r="F196" s="163" t="inlineStr">
        <is>
          <t>Tonnes</t>
        </is>
      </c>
      <c r="G196" s="164" t="inlineStr">
        <is>
          <t>Productivity</t>
        </is>
      </c>
    </row>
    <row r="197">
      <c r="C197" s="165" t="inlineStr">
        <is>
          <t>Sum Tonnes : 7.29</t>
        </is>
      </c>
      <c r="D197" s="170" t="inlineStr">
        <is>
          <t>8071005:SNOP VILLEPINTE - 0.0x0.0x1.8</t>
        </is>
      </c>
      <c r="E197" s="170" t="n">
        <v>1.3</v>
      </c>
      <c r="F197" s="170" t="n">
        <v>4.095</v>
      </c>
      <c r="G197" s="171" t="n">
        <v>0.42</v>
      </c>
    </row>
    <row r="198">
      <c r="C198" s="165" t="inlineStr">
        <is>
          <t>Sum Postes : 2.62</t>
        </is>
      </c>
      <c r="D198" s="168" t="inlineStr">
        <is>
          <t>8069742:SNOP VILLEPINTE - 0.0x0.0x1.6</t>
        </is>
      </c>
      <c r="E198" s="168" t="n">
        <v>0.61</v>
      </c>
      <c r="F198" s="168" t="n">
        <v>1.864</v>
      </c>
      <c r="G198" s="169" t="n">
        <v>0.41</v>
      </c>
    </row>
    <row r="199">
      <c r="C199" s="176" t="inlineStr">
        <is>
          <t>Average Productivity : 0.37</t>
        </is>
      </c>
      <c r="D199" s="179" t="inlineStr">
        <is>
          <t>8070469:SNOP VILLEPINTE - 0.0x0.0x1.2</t>
        </is>
      </c>
      <c r="E199" s="179" t="n">
        <v>0.71</v>
      </c>
      <c r="F199" s="179" t="n">
        <v>1.329</v>
      </c>
      <c r="G199" s="180" t="n">
        <v>0.25</v>
      </c>
    </row>
    <row r="203">
      <c r="C203" s="162" t="inlineStr">
        <is>
          <t>Details for : LASS1, proto - Postes Backlog</t>
        </is>
      </c>
      <c r="D203" s="163" t="inlineStr">
        <is>
          <t>Article : Client - Length x Width x Thickness</t>
        </is>
      </c>
      <c r="E203" s="163" t="inlineStr">
        <is>
          <t>Postes</t>
        </is>
      </c>
      <c r="F203" s="163" t="inlineStr">
        <is>
          <t>Tonnes</t>
        </is>
      </c>
      <c r="G203" s="164" t="inlineStr">
        <is>
          <t>Productivity</t>
        </is>
      </c>
    </row>
    <row r="204">
      <c r="C204" s="165" t="inlineStr">
        <is>
          <t>Sum Tonnes : 129.79</t>
        </is>
      </c>
      <c r="D204" s="166" t="inlineStr">
        <is>
          <t>8110469:ARCELORMITTAL PROTO FLORANGE - 0.0x0.0x0.65</t>
        </is>
      </c>
      <c r="E204" s="166" t="n">
        <v>0.13</v>
      </c>
      <c r="F204" s="166" t="n">
        <v>0.186</v>
      </c>
      <c r="G204" s="167" t="n">
        <v>0.19</v>
      </c>
    </row>
    <row r="205">
      <c r="C205" s="165" t="inlineStr">
        <is>
          <t>Sum Postes : 21.66</t>
        </is>
      </c>
      <c r="D205" s="168" t="inlineStr">
        <is>
          <t>8111081:ARCELORMITTAL PROTO FLORANGE - 0.0x0.0x1.2</t>
        </is>
      </c>
      <c r="E205" s="168" t="n">
        <v>4.15</v>
      </c>
      <c r="F205" s="168" t="n">
        <v>12.125</v>
      </c>
      <c r="G205" s="169" t="n">
        <v>0.39</v>
      </c>
    </row>
    <row r="206">
      <c r="C206" s="165" t="inlineStr">
        <is>
          <t>Average Productivity : 0.8</t>
        </is>
      </c>
      <c r="D206" s="168" t="inlineStr">
        <is>
          <t>8111083:ARCELORMITTAL PROTO FLORANGE - 0.0x0.0x1.2</t>
        </is>
      </c>
      <c r="E206" s="168" t="n">
        <v>1.24</v>
      </c>
      <c r="F206" s="168" t="n">
        <v>31.04</v>
      </c>
      <c r="G206" s="169" t="n">
        <v>3.33</v>
      </c>
    </row>
    <row r="207">
      <c r="C207" s="172" t="n"/>
      <c r="D207" s="168" t="inlineStr">
        <is>
          <t>8111137:ARCELORMITTAL PROTO FLORANGE - 0.0x0.0x1.2</t>
        </is>
      </c>
      <c r="E207" s="168" t="n">
        <v>5.07</v>
      </c>
      <c r="F207" s="168" t="n">
        <v>13.321</v>
      </c>
      <c r="G207" s="169" t="n">
        <v>0.35</v>
      </c>
    </row>
    <row r="208">
      <c r="C208" s="172" t="n"/>
      <c r="D208" s="170" t="inlineStr">
        <is>
          <t>8111149:ARCELORMITTAL PROTO FLORANGE - 0.0x0.0x1.2</t>
        </is>
      </c>
      <c r="E208" s="170" t="n">
        <v>1.73</v>
      </c>
      <c r="F208" s="170" t="n">
        <v>43.12</v>
      </c>
      <c r="G208" s="171" t="n">
        <v>3.33</v>
      </c>
    </row>
    <row r="209">
      <c r="C209" s="172" t="n"/>
      <c r="D209" s="168" t="inlineStr">
        <is>
          <t>8113733:ARCELORMITTAL PROTO FLORANGE - 0.0x0.0x1.2</t>
        </is>
      </c>
      <c r="E209" s="168" t="n">
        <v>1.34</v>
      </c>
      <c r="F209" s="168" t="n">
        <v>0.9077</v>
      </c>
      <c r="G209" s="169" t="n">
        <v>0.09</v>
      </c>
    </row>
    <row r="210">
      <c r="C210" s="172" t="n"/>
      <c r="D210" s="168" t="inlineStr">
        <is>
          <t>8113735:ARCELORMITTAL PROTO FLORANGE - 0.0x0.0x1.2</t>
        </is>
      </c>
      <c r="E210" s="168" t="n">
        <v>0.84</v>
      </c>
      <c r="F210" s="168" t="n">
        <v>1.0665</v>
      </c>
      <c r="G210" s="169" t="n">
        <v>0.17</v>
      </c>
    </row>
    <row r="211">
      <c r="C211" s="172" t="n"/>
      <c r="D211" s="168" t="inlineStr">
        <is>
          <t>8113736:ARCELORMITTAL PROTO FLORANGE - 0.0x0.0x1.5</t>
        </is>
      </c>
      <c r="E211" s="168" t="n">
        <v>6.64</v>
      </c>
      <c r="F211" s="168" t="n">
        <v>14.933</v>
      </c>
      <c r="G211" s="169" t="n">
        <v>0.3</v>
      </c>
    </row>
    <row r="212">
      <c r="C212" s="172" t="n"/>
      <c r="D212" s="168" t="inlineStr">
        <is>
          <t>8116183:ARCELORMITTAL PROTO FLORANGE - 0.0x0.0x1.2</t>
        </is>
      </c>
      <c r="E212" s="168" t="n">
        <v>0.04</v>
      </c>
      <c r="F212" s="168" t="n">
        <v>1.09428</v>
      </c>
      <c r="G212" s="169" t="n">
        <v>3.33</v>
      </c>
    </row>
    <row r="213">
      <c r="C213" s="172" t="n"/>
      <c r="D213" s="168" t="inlineStr">
        <is>
          <t>8116186:ARCELORMITTAL PROTO FLORANGE - 0.0x0.0x1.2</t>
        </is>
      </c>
      <c r="E213" s="168" t="n">
        <v>0.03</v>
      </c>
      <c r="F213" s="168" t="n">
        <v>0.86216</v>
      </c>
      <c r="G213" s="169" t="n">
        <v>3.33</v>
      </c>
    </row>
    <row r="214">
      <c r="C214" s="173" t="n"/>
      <c r="D214" s="174" t="inlineStr">
        <is>
          <t>8116546:ARCELORMITTAL PROTO FLORANGE - 0.0x0.0x1.5</t>
        </is>
      </c>
      <c r="E214" s="174" t="n">
        <v>0.45</v>
      </c>
      <c r="F214" s="174" t="n">
        <v>11.136</v>
      </c>
      <c r="G214" s="175" t="n">
        <v>3.33</v>
      </c>
    </row>
    <row r="218">
      <c r="C218" s="162" t="inlineStr">
        <is>
          <t>Details for : P3 serie - Postes Backlog</t>
        </is>
      </c>
      <c r="D218" s="163" t="inlineStr">
        <is>
          <t>Article : Client - Length x Width x Thickness</t>
        </is>
      </c>
      <c r="E218" s="163" t="inlineStr">
        <is>
          <t>Postes</t>
        </is>
      </c>
      <c r="F218" s="163" t="inlineStr">
        <is>
          <t>Tonnes</t>
        </is>
      </c>
      <c r="G218" s="164" t="inlineStr">
        <is>
          <t>Productivity</t>
        </is>
      </c>
    </row>
    <row r="219">
      <c r="C219" s="165" t="inlineStr">
        <is>
          <t>Sum Tonnes : 9.45</t>
        </is>
      </c>
      <c r="D219" s="170" t="inlineStr">
        <is>
          <t>8033732:DE BUYER INDUSTRIES  SA - 534.0x329.0x1.2</t>
        </is>
      </c>
      <c r="E219" s="170" t="n">
        <v>0.78</v>
      </c>
      <c r="F219" s="170" t="n">
        <v>3.813</v>
      </c>
      <c r="G219" s="171" t="n">
        <v>0.65</v>
      </c>
    </row>
    <row r="220">
      <c r="C220" s="165" t="inlineStr">
        <is>
          <t>Sum Postes : 1.26</t>
        </is>
      </c>
      <c r="D220" s="168" t="inlineStr">
        <is>
          <t>8012600:TOYOTA TSUSHO EUROPE S.A. - 156.0x780.0x1.2</t>
        </is>
      </c>
      <c r="E220" s="168" t="n">
        <v>0.3</v>
      </c>
      <c r="F220" s="168" t="n">
        <v>3.42802</v>
      </c>
      <c r="G220" s="169" t="n">
        <v>1.5</v>
      </c>
    </row>
    <row r="221">
      <c r="C221" s="176" t="inlineStr">
        <is>
          <t>Average Productivity : 1.0</t>
        </is>
      </c>
      <c r="D221" s="179" t="inlineStr">
        <is>
          <t>8031950:PEUGEOT CITROEN AUTOMOBILES SA - 845.0x306.0x1.3</t>
        </is>
      </c>
      <c r="E221" s="179" t="n">
        <v>0.18</v>
      </c>
      <c r="F221" s="179" t="n">
        <v>2.20561</v>
      </c>
      <c r="G221" s="180" t="n">
        <v>1.59</v>
      </c>
    </row>
    <row r="225">
      <c r="C225" s="162" t="inlineStr">
        <is>
          <t xml:space="preserve">Details for : P3 serie - Postes Forecast W15 </t>
        </is>
      </c>
      <c r="D225" s="163" t="inlineStr">
        <is>
          <t>Article : Client - Length x Width x Thickness</t>
        </is>
      </c>
      <c r="E225" s="163" t="inlineStr">
        <is>
          <t>Postes</t>
        </is>
      </c>
      <c r="F225" s="163" t="inlineStr">
        <is>
          <t>Tonnes</t>
        </is>
      </c>
      <c r="G225" s="164" t="inlineStr">
        <is>
          <t>Productivity</t>
        </is>
      </c>
    </row>
    <row r="226">
      <c r="C226" s="165" t="inlineStr">
        <is>
          <t>Sum Tonnes : 98.18</t>
        </is>
      </c>
      <c r="D226" s="168" t="inlineStr">
        <is>
          <t>8012559:GESTAMP LE THEIL - 265.5x950.0x5.0</t>
        </is>
      </c>
      <c r="E226" s="168" t="n">
        <v>0.44</v>
      </c>
      <c r="F226" s="168" t="n">
        <v>7.9392</v>
      </c>
      <c r="G226" s="169" t="n">
        <v>2.42</v>
      </c>
    </row>
    <row r="227">
      <c r="C227" s="165" t="inlineStr">
        <is>
          <t>Sum Postes : 7.26</t>
        </is>
      </c>
      <c r="D227" s="168" t="inlineStr">
        <is>
          <t>8012600:TOYOTA TSUSHO EUROPE S.A. - 156.0x780.0x1.2</t>
        </is>
      </c>
      <c r="E227" s="168" t="n">
        <v>1.94</v>
      </c>
      <c r="F227" s="168" t="n">
        <v>21.831</v>
      </c>
      <c r="G227" s="169" t="n">
        <v>1.5</v>
      </c>
    </row>
    <row r="228">
      <c r="C228" s="165" t="inlineStr">
        <is>
          <t>Average Productivity : 1.8</t>
        </is>
      </c>
      <c r="D228" s="170" t="inlineStr">
        <is>
          <t>8019847:ADAM OPEL GMBH - 295.0x620.0x3.8</t>
        </is>
      </c>
      <c r="E228" s="170" t="n">
        <v>1.56</v>
      </c>
      <c r="F228" s="170" t="n">
        <v>29.00016</v>
      </c>
      <c r="G228" s="171" t="n">
        <v>2.48</v>
      </c>
    </row>
    <row r="229">
      <c r="C229" s="172" t="n"/>
      <c r="D229" s="166" t="inlineStr">
        <is>
          <t>8042687:OTIS SCS - 1370.0x750.0x4.0</t>
        </is>
      </c>
      <c r="E229" s="166" t="n">
        <v>0.34</v>
      </c>
      <c r="F229" s="166" t="n">
        <v>4.52676</v>
      </c>
      <c r="G229" s="167" t="n">
        <v>1.8</v>
      </c>
    </row>
    <row r="230">
      <c r="C230" s="172" t="n"/>
      <c r="D230" s="168" t="inlineStr">
        <is>
          <t>8031950:PEUGEOT CITROEN AUTOMOBILES SA - 845.0x306.0x1.3</t>
        </is>
      </c>
      <c r="E230" s="168" t="n">
        <v>1.88</v>
      </c>
      <c r="F230" s="168" t="n">
        <v>22.4028</v>
      </c>
      <c r="G230" s="169" t="n">
        <v>1.59</v>
      </c>
    </row>
    <row r="231">
      <c r="C231" s="172" t="n"/>
      <c r="D231" s="168" t="inlineStr">
        <is>
          <t>8068756:PEUGEOT CITROEN AUTOMOBILES SA - 232.0x775.0x1.0</t>
        </is>
      </c>
      <c r="E231" s="168" t="n">
        <v>0.6899999999999999</v>
      </c>
      <c r="F231" s="168" t="n">
        <v>7.6076</v>
      </c>
      <c r="G231" s="169" t="n">
        <v>1.47</v>
      </c>
    </row>
    <row r="232">
      <c r="C232" s="173" t="n"/>
      <c r="D232" s="174" t="inlineStr">
        <is>
          <t>8106084:PEUGEOT CITROEN AUTOMOBILES SA - 240.0x884.0x0.9</t>
        </is>
      </c>
      <c r="E232" s="174" t="n">
        <v>0.41</v>
      </c>
      <c r="F232" s="174" t="n">
        <v>4.8704</v>
      </c>
      <c r="G232" s="175" t="n">
        <v>1.58</v>
      </c>
    </row>
    <row r="236">
      <c r="C236" s="162" t="inlineStr">
        <is>
          <t xml:space="preserve">Details for : P3 serie - Postes Forecast W16 </t>
        </is>
      </c>
      <c r="D236" s="163" t="inlineStr">
        <is>
          <t>Article : Client - Length x Width x Thickness</t>
        </is>
      </c>
      <c r="E236" s="163" t="inlineStr">
        <is>
          <t>Postes</t>
        </is>
      </c>
      <c r="F236" s="163" t="inlineStr">
        <is>
          <t>Tonnes</t>
        </is>
      </c>
      <c r="G236" s="164" t="inlineStr">
        <is>
          <t>Productivity</t>
        </is>
      </c>
    </row>
    <row r="237">
      <c r="C237" s="165" t="inlineStr">
        <is>
          <t>Sum Tonnes : 150.88</t>
        </is>
      </c>
      <c r="D237" s="170" t="inlineStr">
        <is>
          <t>8012585:RENAULT SAS - 237.0x1131.0x5.5</t>
        </is>
      </c>
      <c r="E237" s="170" t="n">
        <v>2.06</v>
      </c>
      <c r="F237" s="170" t="n">
        <v>54.11952</v>
      </c>
      <c r="G237" s="171" t="n">
        <v>3.5</v>
      </c>
    </row>
    <row r="238">
      <c r="C238" s="165" t="inlineStr">
        <is>
          <t>Sum Postes : 10.76</t>
        </is>
      </c>
      <c r="D238" s="168" t="inlineStr">
        <is>
          <t>8019847:ADAM OPEL GMBH - 295.0x620.0x3.8</t>
        </is>
      </c>
      <c r="E238" s="168" t="n">
        <v>1.56</v>
      </c>
      <c r="F238" s="168" t="n">
        <v>29.00016</v>
      </c>
      <c r="G238" s="169" t="n">
        <v>2.48</v>
      </c>
    </row>
    <row r="239">
      <c r="C239" s="165" t="inlineStr">
        <is>
          <t>Average Productivity : 1.87</t>
        </is>
      </c>
      <c r="D239" s="168" t="inlineStr">
        <is>
          <t>8031950:PEUGEOT CITROEN AUTOMOBILES SA - 845.0x306.0x1.3</t>
        </is>
      </c>
      <c r="E239" s="168" t="n">
        <v>3.76</v>
      </c>
      <c r="F239" s="168" t="n">
        <v>44.8056</v>
      </c>
      <c r="G239" s="169" t="n">
        <v>1.59</v>
      </c>
    </row>
    <row r="240">
      <c r="C240" s="172" t="n"/>
      <c r="D240" s="168" t="inlineStr">
        <is>
          <t>8068756:PEUGEOT CITROEN AUTOMOBILES SA - 232.0x775.0x1.0</t>
        </is>
      </c>
      <c r="E240" s="168" t="n">
        <v>0.89</v>
      </c>
      <c r="F240" s="168" t="n">
        <v>9.7812</v>
      </c>
      <c r="G240" s="169" t="n">
        <v>1.47</v>
      </c>
    </row>
    <row r="241">
      <c r="C241" s="172" t="n"/>
      <c r="D241" s="168" t="inlineStr">
        <is>
          <t>8068567:F2J STAMPING BESSINES - 190.0x350.0x3.5</t>
        </is>
      </c>
      <c r="E241" s="168" t="n">
        <v>1.86</v>
      </c>
      <c r="F241" s="168" t="n">
        <v>5.3</v>
      </c>
      <c r="G241" s="169" t="n">
        <v>0.38</v>
      </c>
    </row>
    <row r="242">
      <c r="C242" s="172" t="n"/>
      <c r="D242" s="166" t="inlineStr">
        <is>
          <t>8087024:F2J STAMPING BESSINES - 918.0x340.0x5.0</t>
        </is>
      </c>
      <c r="E242" s="166" t="n">
        <v>0.22</v>
      </c>
      <c r="F242" s="166" t="n">
        <v>3</v>
      </c>
      <c r="G242" s="167" t="n">
        <v>1.82</v>
      </c>
    </row>
    <row r="243">
      <c r="C243" s="173" t="n"/>
      <c r="D243" s="174" t="inlineStr">
        <is>
          <t>8106084:PEUGEOT CITROEN AUTOMOBILES SA - 240.0x884.0x0.9</t>
        </is>
      </c>
      <c r="E243" s="174" t="n">
        <v>0.41</v>
      </c>
      <c r="F243" s="174" t="n">
        <v>4.8704</v>
      </c>
      <c r="G243" s="175" t="n">
        <v>1.58</v>
      </c>
    </row>
    <row r="247">
      <c r="C247" s="162" t="inlineStr">
        <is>
          <t xml:space="preserve">Details for : P3 serie - Postes Forecast W17 </t>
        </is>
      </c>
      <c r="D247" s="163" t="inlineStr">
        <is>
          <t>Article : Client - Length x Width x Thickness</t>
        </is>
      </c>
      <c r="E247" s="163" t="inlineStr">
        <is>
          <t>Postes</t>
        </is>
      </c>
      <c r="F247" s="163" t="inlineStr">
        <is>
          <t>Tonnes</t>
        </is>
      </c>
      <c r="G247" s="164" t="inlineStr">
        <is>
          <t>Productivity</t>
        </is>
      </c>
    </row>
    <row r="248">
      <c r="C248" s="165" t="inlineStr">
        <is>
          <t>Sum Tonnes : 87.61</t>
        </is>
      </c>
      <c r="D248" s="168" t="inlineStr">
        <is>
          <t>8019847:ADAM OPEL GMBH - 295.0x620.0x3.8</t>
        </is>
      </c>
      <c r="E248" s="168" t="n">
        <v>1.04</v>
      </c>
      <c r="F248" s="168" t="n">
        <v>19.33344</v>
      </c>
      <c r="G248" s="169" t="n">
        <v>2.48</v>
      </c>
    </row>
    <row r="249">
      <c r="C249" s="165" t="inlineStr">
        <is>
          <t>Sum Postes : 6.67</t>
        </is>
      </c>
      <c r="D249" s="170" t="inlineStr">
        <is>
          <t>8031950:PEUGEOT CITROEN AUTOMOBILES SA - 845.0x306.0x1.3</t>
        </is>
      </c>
      <c r="E249" s="170" t="n">
        <v>1.88</v>
      </c>
      <c r="F249" s="170" t="n">
        <v>22.4028</v>
      </c>
      <c r="G249" s="171" t="n">
        <v>1.59</v>
      </c>
    </row>
    <row r="250">
      <c r="C250" s="165" t="inlineStr">
        <is>
          <t>Average Productivity : 1.75</t>
        </is>
      </c>
      <c r="D250" s="168" t="inlineStr">
        <is>
          <t>8057290:F2J STAMPING BESSINES - 570.0x460.0x3.5</t>
        </is>
      </c>
      <c r="E250" s="168" t="n">
        <v>1.03</v>
      </c>
      <c r="F250" s="168" t="n">
        <v>12</v>
      </c>
      <c r="G250" s="169" t="n">
        <v>1.56</v>
      </c>
    </row>
    <row r="251">
      <c r="C251" s="172" t="n"/>
      <c r="D251" s="168" t="inlineStr">
        <is>
          <t>8068756:PEUGEOT CITROEN AUTOMOBILES SA - 232.0x775.0x1.0</t>
        </is>
      </c>
      <c r="E251" s="168" t="n">
        <v>0.89</v>
      </c>
      <c r="F251" s="168" t="n">
        <v>9.7812</v>
      </c>
      <c r="G251" s="169" t="n">
        <v>1.47</v>
      </c>
    </row>
    <row r="252">
      <c r="C252" s="172" t="n"/>
      <c r="D252" s="168" t="inlineStr">
        <is>
          <t>8087024:F2J STAMPING BESSINES - 918.0x340.0x5.0</t>
        </is>
      </c>
      <c r="E252" s="168" t="n">
        <v>1.32</v>
      </c>
      <c r="F252" s="168" t="n">
        <v>18</v>
      </c>
      <c r="G252" s="169" t="n">
        <v>1.82</v>
      </c>
    </row>
    <row r="253">
      <c r="C253" s="173" t="n"/>
      <c r="D253" s="179" t="inlineStr">
        <is>
          <t>8106084:PEUGEOT CITROEN AUTOMOBILES SA - 240.0x884.0x0.9</t>
        </is>
      </c>
      <c r="E253" s="179" t="n">
        <v>0.51</v>
      </c>
      <c r="F253" s="179" t="n">
        <v>6.088</v>
      </c>
      <c r="G253" s="180" t="n">
        <v>1.58</v>
      </c>
    </row>
    <row r="257">
      <c r="C257" s="162" t="inlineStr">
        <is>
          <t xml:space="preserve">Details for : P3 serie - Postes Forecast W18 </t>
        </is>
      </c>
      <c r="D257" s="163" t="inlineStr">
        <is>
          <t>Article : Client - Length x Width x Thickness</t>
        </is>
      </c>
      <c r="E257" s="163" t="inlineStr">
        <is>
          <t>Postes</t>
        </is>
      </c>
      <c r="F257" s="163" t="inlineStr">
        <is>
          <t>Tonnes</t>
        </is>
      </c>
      <c r="G257" s="164" t="inlineStr">
        <is>
          <t>Productivity</t>
        </is>
      </c>
    </row>
    <row r="258">
      <c r="C258" s="165" t="inlineStr">
        <is>
          <t>Sum Tonnes : 83.54</t>
        </is>
      </c>
      <c r="D258" s="168" t="inlineStr">
        <is>
          <t>8033732:DE BUYER INDUSTRIES  SA - 534.0x329.0x1.2</t>
        </is>
      </c>
      <c r="E258" s="168" t="n">
        <v>0.82</v>
      </c>
      <c r="F258" s="168" t="n">
        <v>4</v>
      </c>
      <c r="G258" s="169" t="n">
        <v>0.65</v>
      </c>
    </row>
    <row r="259">
      <c r="C259" s="165" t="inlineStr">
        <is>
          <t>Sum Postes : 7.77</t>
        </is>
      </c>
      <c r="D259" s="170" t="inlineStr">
        <is>
          <t>8012600:TOYOTA TSUSHO EUROPE S.A. - 156.0x780.0x1.2</t>
        </is>
      </c>
      <c r="E259" s="170" t="n">
        <v>3.88</v>
      </c>
      <c r="F259" s="170" t="n">
        <v>43.662</v>
      </c>
      <c r="G259" s="171" t="n">
        <v>1.5</v>
      </c>
    </row>
    <row r="260">
      <c r="C260" s="165" t="inlineStr">
        <is>
          <t>Average Productivity : 1.43</t>
        </is>
      </c>
      <c r="D260" s="168" t="inlineStr">
        <is>
          <t>8031950:PEUGEOT CITROEN AUTOMOBILES SA - 845.0x306.0x1.3</t>
        </is>
      </c>
      <c r="E260" s="168" t="n">
        <v>1.88</v>
      </c>
      <c r="F260" s="168" t="n">
        <v>22.4028</v>
      </c>
      <c r="G260" s="169" t="n">
        <v>1.59</v>
      </c>
    </row>
    <row r="261">
      <c r="C261" s="172" t="n"/>
      <c r="D261" s="166" t="inlineStr">
        <is>
          <t>8057290:F2J STAMPING BESSINES - 570.0x460.0x3.5</t>
        </is>
      </c>
      <c r="E261" s="166" t="n">
        <v>0.09</v>
      </c>
      <c r="F261" s="166" t="n">
        <v>1</v>
      </c>
      <c r="G261" s="167" t="n">
        <v>1.56</v>
      </c>
    </row>
    <row r="262">
      <c r="C262" s="172" t="n"/>
      <c r="D262" s="168" t="inlineStr">
        <is>
          <t>8068756:PEUGEOT CITROEN AUTOMOBILES SA - 232.0x775.0x1.0</t>
        </is>
      </c>
      <c r="E262" s="168" t="n">
        <v>0.6899999999999999</v>
      </c>
      <c r="F262" s="168" t="n">
        <v>7.6076</v>
      </c>
      <c r="G262" s="169" t="n">
        <v>1.47</v>
      </c>
    </row>
    <row r="263">
      <c r="C263" s="173" t="n"/>
      <c r="D263" s="174" t="inlineStr">
        <is>
          <t>8106084:PEUGEOT CITROEN AUTOMOBILES SA - 240.0x884.0x0.9</t>
        </is>
      </c>
      <c r="E263" s="174" t="n">
        <v>0.41</v>
      </c>
      <c r="F263" s="174" t="n">
        <v>4.8704</v>
      </c>
      <c r="G263" s="175" t="n">
        <v>1.58</v>
      </c>
    </row>
    <row r="267">
      <c r="C267" s="162" t="inlineStr">
        <is>
          <t xml:space="preserve">Details for : P3 serie - Postes Forecast W19 </t>
        </is>
      </c>
      <c r="D267" s="163" t="inlineStr">
        <is>
          <t>Article : Client - Length x Width x Thickness</t>
        </is>
      </c>
      <c r="E267" s="163" t="inlineStr">
        <is>
          <t>Postes</t>
        </is>
      </c>
      <c r="F267" s="163" t="inlineStr">
        <is>
          <t>Tonnes</t>
        </is>
      </c>
      <c r="G267" s="164" t="inlineStr">
        <is>
          <t>Productivity</t>
        </is>
      </c>
    </row>
    <row r="268">
      <c r="C268" s="165" t="inlineStr">
        <is>
          <t>Sum Tonnes : 96.01</t>
        </is>
      </c>
      <c r="D268" s="170" t="inlineStr">
        <is>
          <t>8019847:ADAM OPEL GMBH - 295.0x620.0x3.8</t>
        </is>
      </c>
      <c r="E268" s="170" t="n">
        <v>2.08</v>
      </c>
      <c r="F268" s="170" t="n">
        <v>38.66688</v>
      </c>
      <c r="G268" s="171" t="n">
        <v>2.48</v>
      </c>
    </row>
    <row r="269">
      <c r="C269" s="165" t="inlineStr">
        <is>
          <t>Sum Postes : 8.18</t>
        </is>
      </c>
      <c r="D269" s="168" t="inlineStr">
        <is>
          <t>8042687:OTIS SCS - 1370.0x750.0x4.0</t>
        </is>
      </c>
      <c r="E269" s="168" t="n">
        <v>0.34</v>
      </c>
      <c r="F269" s="168" t="n">
        <v>4.52676</v>
      </c>
      <c r="G269" s="169" t="n">
        <v>1.8</v>
      </c>
    </row>
    <row r="270">
      <c r="C270" s="165" t="inlineStr">
        <is>
          <t>Average Productivity : 1.56</t>
        </is>
      </c>
      <c r="D270" s="168" t="inlineStr">
        <is>
          <t>8031950:PEUGEOT CITROEN AUTOMOBILES SA - 845.0x306.0x1.3</t>
        </is>
      </c>
      <c r="E270" s="168" t="n">
        <v>2.72</v>
      </c>
      <c r="F270" s="168" t="n">
        <v>32.40405</v>
      </c>
      <c r="G270" s="169" t="n">
        <v>1.59</v>
      </c>
    </row>
    <row r="271">
      <c r="C271" s="172" t="n"/>
      <c r="D271" s="166" t="inlineStr">
        <is>
          <t>8057290:F2J STAMPING BESSINES - 570.0x460.0x3.5</t>
        </is>
      </c>
      <c r="E271" s="166" t="n">
        <v>0.09</v>
      </c>
      <c r="F271" s="166" t="n">
        <v>1</v>
      </c>
      <c r="G271" s="167" t="n">
        <v>1.56</v>
      </c>
    </row>
    <row r="272">
      <c r="C272" s="172" t="n"/>
      <c r="D272" s="168" t="inlineStr">
        <is>
          <t>8068756:PEUGEOT CITROEN AUTOMOBILES SA - 232.0x775.0x1.0</t>
        </is>
      </c>
      <c r="E272" s="168" t="n">
        <v>0.67</v>
      </c>
      <c r="F272" s="168" t="n">
        <v>7.3359</v>
      </c>
      <c r="G272" s="169" t="n">
        <v>1.47</v>
      </c>
    </row>
    <row r="273">
      <c r="C273" s="172" t="n"/>
      <c r="D273" s="168" t="inlineStr">
        <is>
          <t>8068567:F2J STAMPING BESSINES - 190.0x350.0x3.5</t>
        </is>
      </c>
      <c r="E273" s="168" t="n">
        <v>1.05</v>
      </c>
      <c r="F273" s="168" t="n">
        <v>3</v>
      </c>
      <c r="G273" s="169" t="n">
        <v>0.38</v>
      </c>
    </row>
    <row r="274">
      <c r="C274" s="172" t="n"/>
      <c r="D274" s="168" t="inlineStr">
        <is>
          <t>8083675:SNOP VILLEPINTE - 730.0x185.0x2.0</t>
        </is>
      </c>
      <c r="E274" s="168" t="n">
        <v>0.6</v>
      </c>
      <c r="F274" s="168" t="n">
        <v>1.3</v>
      </c>
      <c r="G274" s="169" t="n">
        <v>0.29</v>
      </c>
    </row>
    <row r="275">
      <c r="C275" s="172" t="n"/>
      <c r="D275" s="168" t="inlineStr">
        <is>
          <t>8087024:F2J STAMPING BESSINES - 918.0x340.0x5.0</t>
        </is>
      </c>
      <c r="E275" s="168" t="n">
        <v>0.19</v>
      </c>
      <c r="F275" s="168" t="n">
        <v>2.6</v>
      </c>
      <c r="G275" s="169" t="n">
        <v>1.82</v>
      </c>
    </row>
    <row r="276">
      <c r="C276" s="173" t="n"/>
      <c r="D276" s="174" t="inlineStr">
        <is>
          <t>8106084:PEUGEOT CITROEN AUTOMOBILES SA - 240.0x884.0x0.9</t>
        </is>
      </c>
      <c r="E276" s="174" t="n">
        <v>0.44</v>
      </c>
      <c r="F276" s="174" t="n">
        <v>5.1748</v>
      </c>
      <c r="G276" s="175" t="n">
        <v>1.58</v>
      </c>
    </row>
    <row r="280">
      <c r="C280" s="162" t="inlineStr">
        <is>
          <t>Details for : P3 proto - Postes Backlog</t>
        </is>
      </c>
      <c r="D280" s="163" t="inlineStr">
        <is>
          <t>Article : Client - Length x Width x Thickness</t>
        </is>
      </c>
      <c r="E280" s="163" t="inlineStr">
        <is>
          <t>Postes</t>
        </is>
      </c>
      <c r="F280" s="163" t="inlineStr">
        <is>
          <t>Tonnes</t>
        </is>
      </c>
      <c r="G280" s="164" t="inlineStr">
        <is>
          <t>Productivity</t>
        </is>
      </c>
    </row>
    <row r="281">
      <c r="C281" s="165" t="inlineStr">
        <is>
          <t>Sum Tonnes : 23.54</t>
        </is>
      </c>
      <c r="D281" s="168" t="inlineStr">
        <is>
          <t>8032078:ARCELORMITTAL PROTO FLORANGE - 0.0x0.0x0.85</t>
        </is>
      </c>
      <c r="E281" s="168" t="n">
        <v>0.07000000000000001</v>
      </c>
      <c r="F281" s="168" t="n">
        <v>1.76236</v>
      </c>
      <c r="G281" s="169" t="n">
        <v>3.33</v>
      </c>
    </row>
    <row r="282">
      <c r="C282" s="165" t="inlineStr">
        <is>
          <t>Sum Postes : 1.05</t>
        </is>
      </c>
      <c r="D282" s="168" t="inlineStr">
        <is>
          <t>8032089:ARCELORMITTAL PROTO FLORANGE - 0.0x0.0x0.85</t>
        </is>
      </c>
      <c r="E282" s="168" t="n">
        <v>0.07000000000000001</v>
      </c>
      <c r="F282" s="168" t="n">
        <v>1.83</v>
      </c>
      <c r="G282" s="169" t="n">
        <v>3.33</v>
      </c>
    </row>
    <row r="283">
      <c r="C283" s="165" t="inlineStr">
        <is>
          <t>Average Productivity : 2.99</t>
        </is>
      </c>
      <c r="D283" s="168" t="inlineStr">
        <is>
          <t>8090786:ARCELORMITTAL PROTO FLORANGE - 2000.0x1200.0x2.5</t>
        </is>
      </c>
      <c r="E283" s="168" t="n">
        <v>0.3</v>
      </c>
      <c r="F283" s="168" t="n">
        <v>4.7527</v>
      </c>
      <c r="G283" s="169" t="n">
        <v>2.1</v>
      </c>
    </row>
    <row r="284">
      <c r="C284" s="172" t="n"/>
      <c r="D284" s="170" t="inlineStr">
        <is>
          <t>8110736:ARCELORMITTAL PROTO FLORANGE - 2200.0x1000.0x0.8</t>
        </is>
      </c>
      <c r="E284" s="170" t="n">
        <v>0.4</v>
      </c>
      <c r="F284" s="170" t="n">
        <v>10.086</v>
      </c>
      <c r="G284" s="171" t="n">
        <v>3.33</v>
      </c>
    </row>
    <row r="285">
      <c r="C285" s="172" t="n"/>
      <c r="D285" s="168" t="inlineStr">
        <is>
          <t>8113944:ARCELORMITTAL PROTO FLORANGE - 2000.0x904.0x2.12</t>
        </is>
      </c>
      <c r="E285" s="168" t="n">
        <v>0.02</v>
      </c>
      <c r="F285" s="168" t="n">
        <v>0.457</v>
      </c>
      <c r="G285" s="169" t="n">
        <v>3.33</v>
      </c>
    </row>
    <row r="286">
      <c r="C286" s="172" t="n"/>
      <c r="D286" s="168" t="inlineStr">
        <is>
          <t>8116114:ARCELORMITTAL PROTO FLORANGE - 2000.0x1002.0x2.23</t>
        </is>
      </c>
      <c r="E286" s="168" t="n">
        <v>0.02</v>
      </c>
      <c r="F286" s="168" t="n">
        <v>0.52963</v>
      </c>
      <c r="G286" s="169" t="n">
        <v>3.33</v>
      </c>
    </row>
    <row r="287">
      <c r="C287" s="172" t="n"/>
      <c r="D287" s="168" t="inlineStr">
        <is>
          <t>8115925:ARCELORMITTAL PROTO FLORANGE - 500.0x1010.0x1.4</t>
        </is>
      </c>
      <c r="E287" s="168" t="n">
        <v>0.01</v>
      </c>
      <c r="F287" s="168" t="n">
        <v>0.16917</v>
      </c>
      <c r="G287" s="169" t="n">
        <v>3.33</v>
      </c>
    </row>
    <row r="288">
      <c r="C288" s="172" t="n"/>
      <c r="D288" s="166" t="inlineStr">
        <is>
          <t>8116251:ARCELORMITTAL PROTO FLORANGE - 1000.0x1200.0x1.1</t>
        </is>
      </c>
      <c r="E288" s="166" t="n">
        <v>0</v>
      </c>
      <c r="F288" s="166" t="n">
        <v>0.05251</v>
      </c>
      <c r="G288" s="167" t="n">
        <v>3.33</v>
      </c>
    </row>
    <row r="289">
      <c r="C289" s="172" t="n"/>
      <c r="D289" s="168" t="inlineStr">
        <is>
          <t>8116399:ARCELORMITTAL PROTO FLORANGE - 2000.0x1150.0x2.1</t>
        </is>
      </c>
      <c r="E289" s="168" t="n">
        <v>0.15</v>
      </c>
      <c r="F289" s="168" t="n">
        <v>3.7</v>
      </c>
      <c r="G289" s="169" t="n">
        <v>3.33</v>
      </c>
    </row>
    <row r="290">
      <c r="C290" s="173" t="n"/>
      <c r="D290" s="174" t="inlineStr">
        <is>
          <t>8117015:ARCELORMITTAL PROTO FLORANGE - 500.0x1030.0x1.0</t>
        </is>
      </c>
      <c r="E290" s="174" t="n">
        <v>0.01</v>
      </c>
      <c r="F290" s="174" t="n">
        <v>0.2053</v>
      </c>
      <c r="G290" s="175" t="n">
        <v>3.85</v>
      </c>
    </row>
    <row r="294">
      <c r="C294" s="162" t="inlineStr">
        <is>
          <t xml:space="preserve">Details for : P3 proto - Postes Forecast W16 </t>
        </is>
      </c>
      <c r="D294" s="163" t="inlineStr">
        <is>
          <t>Article : Client - Length x Width x Thickness</t>
        </is>
      </c>
      <c r="E294" s="163" t="inlineStr">
        <is>
          <t>Postes</t>
        </is>
      </c>
      <c r="F294" s="163" t="inlineStr">
        <is>
          <t>Tonnes</t>
        </is>
      </c>
      <c r="G294" s="164" t="inlineStr">
        <is>
          <t>Productivity</t>
        </is>
      </c>
    </row>
    <row r="295">
      <c r="C295" s="165" t="inlineStr">
        <is>
          <t>Sum Tonnes : 26.0</t>
        </is>
      </c>
      <c r="D295" s="170" t="inlineStr">
        <is>
          <t>8117800:ARCELORMITTAL PROTO FLORANGE - 2000.0x1100.0x3.0</t>
        </is>
      </c>
      <c r="E295" s="170" t="n">
        <v>0.73</v>
      </c>
      <c r="F295" s="170" t="n">
        <v>16</v>
      </c>
      <c r="G295" s="171" t="n">
        <v>2.92</v>
      </c>
    </row>
    <row r="296">
      <c r="C296" s="165" t="inlineStr">
        <is>
          <t>Sum Postes : 1.13</t>
        </is>
      </c>
      <c r="D296" s="166" t="inlineStr">
        <is>
          <t>8119227:ARCELORMITTAL PROTO FLORANGE - 2000.0x1200.0x2.75</t>
        </is>
      </c>
      <c r="E296" s="166" t="n">
        <v>0.4</v>
      </c>
      <c r="F296" s="166" t="n">
        <v>10</v>
      </c>
      <c r="G296" s="167" t="n">
        <v>3.33</v>
      </c>
    </row>
    <row r="297">
      <c r="C297" s="176" t="inlineStr">
        <is>
          <t>Average Productivity : 3.07</t>
        </is>
      </c>
      <c r="D297" s="174" t="n"/>
      <c r="E297" s="174" t="n"/>
      <c r="F297" s="174" t="n"/>
      <c r="G297" s="175" t="n"/>
    </row>
    <row r="301">
      <c r="C301" s="162" t="inlineStr">
        <is>
          <t>Details for : R1 serie - Postes Backlog</t>
        </is>
      </c>
      <c r="D301" s="163" t="inlineStr">
        <is>
          <t>Article : Client - Length x Width x Thickness</t>
        </is>
      </c>
      <c r="E301" s="163" t="inlineStr">
        <is>
          <t>Postes</t>
        </is>
      </c>
      <c r="F301" s="163" t="inlineStr">
        <is>
          <t>Tonnes</t>
        </is>
      </c>
      <c r="G301" s="164" t="inlineStr">
        <is>
          <t>Productivity</t>
        </is>
      </c>
    </row>
    <row r="302">
      <c r="C302" s="165" t="inlineStr">
        <is>
          <t>Sum Tonnes : 334.09</t>
        </is>
      </c>
      <c r="D302" s="168" t="inlineStr">
        <is>
          <t>8023365:BAOMARC - 0.0x248.6x1.2</t>
        </is>
      </c>
      <c r="E302" s="168" t="n">
        <v>0.16</v>
      </c>
      <c r="F302" s="168" t="n">
        <v>23.54</v>
      </c>
      <c r="G302" s="169" t="n">
        <v>19.23</v>
      </c>
    </row>
    <row r="303">
      <c r="C303" s="165" t="inlineStr">
        <is>
          <t>Sum Postes : 3.91</t>
        </is>
      </c>
      <c r="D303" s="168" t="inlineStr">
        <is>
          <t>8029019:PLACOPLATRE SA - 0.0x92.0x0.59</t>
        </is>
      </c>
      <c r="E303" s="168" t="n">
        <v>0.02</v>
      </c>
      <c r="F303" s="168" t="n">
        <v>2.7</v>
      </c>
      <c r="G303" s="169" t="n">
        <v>16.3</v>
      </c>
    </row>
    <row r="304">
      <c r="C304" s="165" t="inlineStr">
        <is>
          <t>Average Productivity : 11.39</t>
        </is>
      </c>
      <c r="D304" s="168" t="inlineStr">
        <is>
          <t>8029597:VIESSMANN FAULQUEMONT SAS - 0.0x576.0x3.5</t>
        </is>
      </c>
      <c r="E304" s="168" t="n">
        <v>0.02</v>
      </c>
      <c r="F304" s="168" t="n">
        <v>3.79</v>
      </c>
      <c r="G304" s="169" t="n">
        <v>26.31</v>
      </c>
    </row>
    <row r="305">
      <c r="C305" s="172" t="n"/>
      <c r="D305" s="168" t="inlineStr">
        <is>
          <t>8110459:TOLE PRO - 0.0x74.0x2.45</t>
        </is>
      </c>
      <c r="E305" s="168" t="n">
        <v>0.35</v>
      </c>
      <c r="F305" s="168" t="n">
        <v>27.228</v>
      </c>
      <c r="G305" s="169" t="n">
        <v>10.4</v>
      </c>
    </row>
    <row r="306">
      <c r="C306" s="172" t="n"/>
      <c r="D306" s="168" t="inlineStr">
        <is>
          <t>8068456:SEMIN PROFILS SAS - 0.0x93.0x0.58</t>
        </is>
      </c>
      <c r="E306" s="168" t="n">
        <v>0.04</v>
      </c>
      <c r="F306" s="168" t="n">
        <v>3.68</v>
      </c>
      <c r="G306" s="169" t="n">
        <v>13.45</v>
      </c>
    </row>
    <row r="307">
      <c r="C307" s="172" t="n"/>
      <c r="D307" s="168" t="inlineStr">
        <is>
          <t>8068457:SEMIN PROFILS SAS - 0.0x121.0x0.58</t>
        </is>
      </c>
      <c r="E307" s="168" t="n">
        <v>0.02</v>
      </c>
      <c r="F307" s="168" t="n">
        <v>2.105</v>
      </c>
      <c r="G307" s="169" t="n">
        <v>12.79</v>
      </c>
    </row>
    <row r="308">
      <c r="C308" s="172" t="n"/>
      <c r="D308" s="168" t="inlineStr">
        <is>
          <t>8111846:SEMIN PROFILS SAS - 0.0x91.0x0.58</t>
        </is>
      </c>
      <c r="E308" s="168" t="n">
        <v>0.1</v>
      </c>
      <c r="F308" s="168" t="n">
        <v>7.235</v>
      </c>
      <c r="G308" s="169" t="n">
        <v>10.15</v>
      </c>
    </row>
    <row r="309">
      <c r="C309" s="172" t="n"/>
      <c r="D309" s="168" t="inlineStr">
        <is>
          <t>8033599:RICHTER SYSTEM - 0.0x118.0x0.58</t>
        </is>
      </c>
      <c r="E309" s="168" t="n">
        <v>0.05</v>
      </c>
      <c r="F309" s="168" t="n">
        <v>5.751</v>
      </c>
      <c r="G309" s="169" t="n">
        <v>17.04</v>
      </c>
    </row>
    <row r="310">
      <c r="C310" s="172" t="n"/>
      <c r="D310" s="168" t="inlineStr">
        <is>
          <t>8042388:SIMPSON STRONG-TIE SAS - 0.0x275.0x3.0</t>
        </is>
      </c>
      <c r="E310" s="168" t="n">
        <v>0.04</v>
      </c>
      <c r="F310" s="168" t="n">
        <v>7.885</v>
      </c>
      <c r="G310" s="169" t="n">
        <v>28.62</v>
      </c>
    </row>
    <row r="311">
      <c r="C311" s="172" t="n"/>
      <c r="D311" s="168" t="inlineStr">
        <is>
          <t>8112003:PLAFOMETAL - 0.0x100.0x0.52</t>
        </is>
      </c>
      <c r="E311" s="168" t="n">
        <v>0.14</v>
      </c>
      <c r="F311" s="168" t="n">
        <v>6.365</v>
      </c>
      <c r="G311" s="169" t="n">
        <v>6.13</v>
      </c>
    </row>
    <row r="312">
      <c r="C312" s="172" t="n"/>
      <c r="D312" s="168" t="inlineStr">
        <is>
          <t>8029019:PLACOPLATRE SA - 0.0x92.0x0.59</t>
        </is>
      </c>
      <c r="E312" s="168" t="n">
        <v>0.2</v>
      </c>
      <c r="F312" s="168" t="n">
        <v>25</v>
      </c>
      <c r="G312" s="169" t="n">
        <v>16.3</v>
      </c>
    </row>
    <row r="313">
      <c r="C313" s="172" t="n"/>
      <c r="D313" s="168" t="inlineStr">
        <is>
          <t>8029020:PLACOPLATRE SA - 0.0x119.0x0.59</t>
        </is>
      </c>
      <c r="E313" s="168" t="n">
        <v>0.19</v>
      </c>
      <c r="F313" s="168" t="n">
        <v>23.175</v>
      </c>
      <c r="G313" s="169" t="n">
        <v>15.96</v>
      </c>
    </row>
    <row r="314">
      <c r="C314" s="172" t="n"/>
      <c r="D314" s="170" t="inlineStr">
        <is>
          <t>8029020:PLACOPLATRE SA - 0.0x119.0x0.59</t>
        </is>
      </c>
      <c r="E314" s="170" t="n">
        <v>0.42</v>
      </c>
      <c r="F314" s="170" t="n">
        <v>50</v>
      </c>
      <c r="G314" s="171" t="n">
        <v>15.96</v>
      </c>
    </row>
    <row r="315">
      <c r="C315" s="172" t="n"/>
      <c r="D315" s="168" t="inlineStr">
        <is>
          <t>8070655:SEMIN PROFILS SAS - 0.0x62.5x0.52</t>
        </is>
      </c>
      <c r="E315" s="168" t="n">
        <v>0.14</v>
      </c>
      <c r="F315" s="168" t="n">
        <v>7.91</v>
      </c>
      <c r="G315" s="169" t="n">
        <v>7.39</v>
      </c>
    </row>
    <row r="316">
      <c r="C316" s="172" t="n"/>
      <c r="D316" s="168" t="inlineStr">
        <is>
          <t>8049443:PLAFOMETAL - 0.0x92.0x0.59</t>
        </is>
      </c>
      <c r="E316" s="168" t="n">
        <v>0.6</v>
      </c>
      <c r="F316" s="168" t="n">
        <v>25</v>
      </c>
      <c r="G316" s="169" t="n">
        <v>5.55</v>
      </c>
    </row>
    <row r="317">
      <c r="C317" s="172" t="n"/>
      <c r="D317" s="168" t="inlineStr">
        <is>
          <t>8117529:PLAFOMETAL - 0.0x119.0x0.59</t>
        </is>
      </c>
      <c r="E317" s="168" t="n">
        <v>0.5600000000000001</v>
      </c>
      <c r="F317" s="168" t="n">
        <v>23.174</v>
      </c>
      <c r="G317" s="169" t="n">
        <v>5.55</v>
      </c>
    </row>
    <row r="318">
      <c r="C318" s="172" t="n"/>
      <c r="D318" s="168" t="inlineStr">
        <is>
          <t>8115578:GESTAMP SERMAISES - 0.0x375.0x1.17</t>
        </is>
      </c>
      <c r="E318" s="168" t="n">
        <v>0.02</v>
      </c>
      <c r="F318" s="168" t="n">
        <v>2.95</v>
      </c>
      <c r="G318" s="169" t="n">
        <v>20.38</v>
      </c>
    </row>
    <row r="319">
      <c r="C319" s="172" t="n"/>
      <c r="D319" s="168" t="inlineStr">
        <is>
          <t>8012019:STEEL CENTER EUROPE S.R.O. - 0.0x158.0x4.0</t>
        </is>
      </c>
      <c r="E319" s="168" t="n">
        <v>0.27</v>
      </c>
      <c r="F319" s="168" t="n">
        <v>23.1</v>
      </c>
      <c r="G319" s="169" t="n">
        <v>11.57</v>
      </c>
    </row>
    <row r="320">
      <c r="C320" s="172" t="n"/>
      <c r="D320" s="168" t="inlineStr">
        <is>
          <t>8014488:TRICO BELGIUM SA - 0.0x120.0x1.48</t>
        </is>
      </c>
      <c r="E320" s="168" t="n">
        <v>0.26</v>
      </c>
      <c r="F320" s="168" t="n">
        <v>24.925</v>
      </c>
      <c r="G320" s="169" t="n">
        <v>13.01</v>
      </c>
    </row>
    <row r="321">
      <c r="C321" s="172" t="n"/>
      <c r="D321" s="168" t="inlineStr">
        <is>
          <t>8017856:MA POLSKA - 0.0x293.5x0.95</t>
        </is>
      </c>
      <c r="E321" s="168" t="n">
        <v>0.17</v>
      </c>
      <c r="F321" s="168" t="n">
        <v>24.83</v>
      </c>
      <c r="G321" s="169" t="n">
        <v>19.06</v>
      </c>
    </row>
    <row r="322">
      <c r="C322" s="172" t="n"/>
      <c r="D322" s="168" t="inlineStr">
        <is>
          <t>8029907:SAREL APPAREILLAGE ELECTRIQUE - 0.0x1021.5x1.5</t>
        </is>
      </c>
      <c r="E322" s="168" t="n">
        <v>0.05</v>
      </c>
      <c r="F322" s="168" t="n">
        <v>4.4</v>
      </c>
      <c r="G322" s="169" t="n">
        <v>11.47</v>
      </c>
    </row>
    <row r="323">
      <c r="C323" s="172" t="n"/>
      <c r="D323" s="166" t="inlineStr">
        <is>
          <t>8029917:SAREL APPAREILLAGE ELECTRIQUE - 0.0x989.0x1.8</t>
        </is>
      </c>
      <c r="E323" s="166" t="n">
        <v>0</v>
      </c>
      <c r="F323" s="166" t="n">
        <v>0.1</v>
      </c>
      <c r="G323" s="167" t="n">
        <v>16.18</v>
      </c>
    </row>
    <row r="324">
      <c r="C324" s="172" t="n"/>
      <c r="D324" s="168" t="inlineStr">
        <is>
          <t>8029893:SAREL APPAREILLAGE ELECTRIQUE - 0.0x940.0x1.0</t>
        </is>
      </c>
      <c r="E324" s="168" t="n">
        <v>0.04</v>
      </c>
      <c r="F324" s="168" t="n">
        <v>3.7</v>
      </c>
      <c r="G324" s="169" t="n">
        <v>11.75</v>
      </c>
    </row>
    <row r="325">
      <c r="C325" s="173" t="n"/>
      <c r="D325" s="174" t="inlineStr">
        <is>
          <t>8029924:SAREL APPAREILLAGE ELECTRIQUE - 0.0x1039.0x1.15</t>
        </is>
      </c>
      <c r="E325" s="174" t="n">
        <v>0.05</v>
      </c>
      <c r="F325" s="174" t="n">
        <v>5.55</v>
      </c>
      <c r="G325" s="175" t="n">
        <v>16.02</v>
      </c>
    </row>
    <row r="329">
      <c r="C329" s="162" t="inlineStr">
        <is>
          <t xml:space="preserve">Details for : R1 serie - Postes Forecast W15 </t>
        </is>
      </c>
      <c r="D329" s="163" t="inlineStr">
        <is>
          <t>Article : Client - Length x Width x Thickness</t>
        </is>
      </c>
      <c r="E329" s="163" t="inlineStr">
        <is>
          <t>Postes</t>
        </is>
      </c>
      <c r="F329" s="163" t="inlineStr">
        <is>
          <t>Tonnes</t>
        </is>
      </c>
      <c r="G329" s="164" t="inlineStr">
        <is>
          <t>Productivity</t>
        </is>
      </c>
    </row>
    <row r="330">
      <c r="C330" s="165" t="inlineStr">
        <is>
          <t>Sum Tonnes : 342.48</t>
        </is>
      </c>
      <c r="D330" s="170" t="inlineStr">
        <is>
          <t>8029020:PLACOPLATRE SA - 0.0x119.0x0.59</t>
        </is>
      </c>
      <c r="E330" s="170" t="n">
        <v>0.42</v>
      </c>
      <c r="F330" s="170" t="n">
        <v>50</v>
      </c>
      <c r="G330" s="171" t="n">
        <v>15.96</v>
      </c>
    </row>
    <row r="331">
      <c r="C331" s="165" t="inlineStr">
        <is>
          <t>Sum Postes : 2.87</t>
        </is>
      </c>
      <c r="D331" s="168" t="inlineStr">
        <is>
          <t>8033158:SIMPSON STRONG-TIE SAS - 0.0x171.0x2.5</t>
        </is>
      </c>
      <c r="E331" s="168" t="n">
        <v>0.04</v>
      </c>
      <c r="F331" s="168" t="n">
        <v>5.695</v>
      </c>
      <c r="G331" s="169" t="n">
        <v>17.65</v>
      </c>
    </row>
    <row r="332">
      <c r="C332" s="165" t="inlineStr">
        <is>
          <t>Average Productivity : 15.91</t>
        </is>
      </c>
      <c r="D332" s="168" t="inlineStr">
        <is>
          <t>8115966:SIMPSON STRONG-TIE SAS - 0.0x140.0x2.5</t>
        </is>
      </c>
      <c r="E332" s="168" t="n">
        <v>0.02</v>
      </c>
      <c r="F332" s="168" t="n">
        <v>1.5</v>
      </c>
      <c r="G332" s="169" t="n">
        <v>11.93</v>
      </c>
    </row>
    <row r="333">
      <c r="C333" s="172" t="n"/>
      <c r="D333" s="168" t="inlineStr">
        <is>
          <t>8029019:PLACOPLATRE SA - 0.0x92.0x0.59</t>
        </is>
      </c>
      <c r="E333" s="168" t="n">
        <v>0.21</v>
      </c>
      <c r="F333" s="168" t="n">
        <v>25.429</v>
      </c>
      <c r="G333" s="169" t="n">
        <v>16.3</v>
      </c>
    </row>
    <row r="334">
      <c r="C334" s="172" t="n"/>
      <c r="D334" s="168" t="inlineStr">
        <is>
          <t>8012019:STEEL CENTER EUROPE S.R.O. - 0.0x158.0x4.0</t>
        </is>
      </c>
      <c r="E334" s="168" t="n">
        <v>0.35</v>
      </c>
      <c r="F334" s="168" t="n">
        <v>30</v>
      </c>
      <c r="G334" s="169" t="n">
        <v>11.57</v>
      </c>
    </row>
    <row r="335">
      <c r="C335" s="172" t="n"/>
      <c r="D335" s="168" t="inlineStr">
        <is>
          <t>8012047:STEEL CENTER EUROPE S.R.O. - 0.0x218.0x4.0</t>
        </is>
      </c>
      <c r="E335" s="168" t="n">
        <v>0.27</v>
      </c>
      <c r="F335" s="168" t="n">
        <v>30</v>
      </c>
      <c r="G335" s="169" t="n">
        <v>14.84</v>
      </c>
    </row>
    <row r="336">
      <c r="C336" s="172" t="n"/>
      <c r="D336" s="168" t="inlineStr">
        <is>
          <t>8012020:STEEL CENTER EUROPE S.R.O. - 0.0x312.0x4.0</t>
        </is>
      </c>
      <c r="E336" s="168" t="n">
        <v>0.31</v>
      </c>
      <c r="F336" s="168" t="n">
        <v>30</v>
      </c>
      <c r="G336" s="169" t="n">
        <v>12.88</v>
      </c>
    </row>
    <row r="337">
      <c r="C337" s="172" t="n"/>
      <c r="D337" s="168" t="inlineStr">
        <is>
          <t>8017856:MA POLSKA - 0.0x293.5x0.95</t>
        </is>
      </c>
      <c r="E337" s="168" t="n">
        <v>0.17</v>
      </c>
      <c r="F337" s="168" t="n">
        <v>25</v>
      </c>
      <c r="G337" s="169" t="n">
        <v>19.06</v>
      </c>
    </row>
    <row r="338">
      <c r="C338" s="172" t="n"/>
      <c r="D338" s="168" t="inlineStr">
        <is>
          <t>8027664:SNOP VILLEPINTE - 0.0x212.8x1.15</t>
        </is>
      </c>
      <c r="E338" s="168" t="n">
        <v>0.11</v>
      </c>
      <c r="F338" s="168" t="n">
        <v>21.6</v>
      </c>
      <c r="G338" s="169" t="n">
        <v>26.4</v>
      </c>
    </row>
    <row r="339">
      <c r="C339" s="172" t="n"/>
      <c r="D339" s="168" t="inlineStr">
        <is>
          <t>8027662:SNOP VILLEPINTE - 0.0x101.5x1.05</t>
        </is>
      </c>
      <c r="E339" s="168" t="n">
        <v>0.05</v>
      </c>
      <c r="F339" s="168" t="n">
        <v>6.8</v>
      </c>
      <c r="G339" s="169" t="n">
        <v>18.23</v>
      </c>
    </row>
    <row r="340">
      <c r="C340" s="172" t="n"/>
      <c r="D340" s="168" t="inlineStr">
        <is>
          <t>8050618:MA POLSKA - 0.0x320.0x1.4</t>
        </is>
      </c>
      <c r="E340" s="168" t="n">
        <v>0.17</v>
      </c>
      <c r="F340" s="168" t="n">
        <v>24</v>
      </c>
      <c r="G340" s="169" t="n">
        <v>19.02</v>
      </c>
    </row>
    <row r="341">
      <c r="C341" s="172" t="n"/>
      <c r="D341" s="168" t="inlineStr">
        <is>
          <t>8061680:SNOP VILLEPINTE - 0.0x298.8x1.05</t>
        </is>
      </c>
      <c r="E341" s="168" t="n">
        <v>0.12</v>
      </c>
      <c r="F341" s="168" t="n">
        <v>21.5</v>
      </c>
      <c r="G341" s="169" t="n">
        <v>24.07</v>
      </c>
    </row>
    <row r="342">
      <c r="C342" s="172" t="n"/>
      <c r="D342" s="168" t="inlineStr">
        <is>
          <t>8061732:SNOP VILLEPINTE - 0.0x302.3x1.2</t>
        </is>
      </c>
      <c r="E342" s="168" t="n">
        <v>0.09</v>
      </c>
      <c r="F342" s="168" t="n">
        <v>16.8</v>
      </c>
      <c r="G342" s="169" t="n">
        <v>24.78</v>
      </c>
    </row>
    <row r="343">
      <c r="C343" s="172" t="n"/>
      <c r="D343" s="168" t="inlineStr">
        <is>
          <t>8029922:SAREL APPAREILLAGE ELECTRIQUE - 0.0x1139.0x1.15</t>
        </is>
      </c>
      <c r="E343" s="168" t="n">
        <v>0.02</v>
      </c>
      <c r="F343" s="168" t="n">
        <v>2</v>
      </c>
      <c r="G343" s="169" t="n">
        <v>13.29</v>
      </c>
    </row>
    <row r="344">
      <c r="C344" s="172" t="n"/>
      <c r="D344" s="168" t="inlineStr">
        <is>
          <t>8029925:SAREL APPAREILLAGE ELECTRIQUE - 0.0x640.0x1.0</t>
        </is>
      </c>
      <c r="E344" s="168" t="n">
        <v>0.01</v>
      </c>
      <c r="F344" s="168" t="n">
        <v>0.9</v>
      </c>
      <c r="G344" s="169" t="n">
        <v>19.52</v>
      </c>
    </row>
    <row r="345">
      <c r="C345" s="172" t="n"/>
      <c r="D345" s="168" t="inlineStr">
        <is>
          <t>8029911:SAREL APPAREILLAGE ELECTRIQUE - 0.0x821.5x1.5</t>
        </is>
      </c>
      <c r="E345" s="168" t="n">
        <v>0.01</v>
      </c>
      <c r="F345" s="168" t="n">
        <v>1.72</v>
      </c>
      <c r="G345" s="169" t="n">
        <v>18.03</v>
      </c>
    </row>
    <row r="346">
      <c r="C346" s="172" t="n"/>
      <c r="D346" s="168" t="inlineStr">
        <is>
          <t>8029912:SAREL APPAREILLAGE ELECTRIQUE - 0.0x1046.0x1.5</t>
        </is>
      </c>
      <c r="E346" s="168" t="n">
        <v>0.02</v>
      </c>
      <c r="F346" s="168" t="n">
        <v>2</v>
      </c>
      <c r="G346" s="169" t="n">
        <v>10.96</v>
      </c>
    </row>
    <row r="347">
      <c r="C347" s="172" t="n"/>
      <c r="D347" s="168" t="inlineStr">
        <is>
          <t>8029931:SAREL APPAREILLAGE ELECTRIQUE - 0.0x521.5x1.5</t>
        </is>
      </c>
      <c r="E347" s="168" t="n">
        <v>0.02</v>
      </c>
      <c r="F347" s="168" t="n">
        <v>1.2</v>
      </c>
      <c r="G347" s="169" t="n">
        <v>9.449999999999999</v>
      </c>
    </row>
    <row r="348">
      <c r="C348" s="172" t="n"/>
      <c r="D348" s="168" t="inlineStr">
        <is>
          <t>8029910:SAREL APPAREILLAGE ELECTRIQUE - 0.0x621.5x1.5</t>
        </is>
      </c>
      <c r="E348" s="168" t="n">
        <v>0.04</v>
      </c>
      <c r="F348" s="168" t="n">
        <v>1.92</v>
      </c>
      <c r="G348" s="169" t="n">
        <v>6.89</v>
      </c>
    </row>
    <row r="349">
      <c r="C349" s="172" t="n"/>
      <c r="D349" s="168" t="inlineStr">
        <is>
          <t>8029913:SAREL APPAREILLAGE ELECTRIQUE - 0.0x1246.0x1.5</t>
        </is>
      </c>
      <c r="E349" s="168" t="n">
        <v>0.01</v>
      </c>
      <c r="F349" s="168" t="n">
        <v>0.9</v>
      </c>
      <c r="G349" s="169" t="n">
        <v>12.13</v>
      </c>
    </row>
    <row r="350">
      <c r="C350" s="172" t="n"/>
      <c r="D350" s="168" t="inlineStr">
        <is>
          <t>8029909:SAREL APPAREILLAGE ELECTRIQUE - 0.0x421.5x1.5</t>
        </is>
      </c>
      <c r="E350" s="168" t="n">
        <v>0.02</v>
      </c>
      <c r="F350" s="168" t="n">
        <v>1</v>
      </c>
      <c r="G350" s="169" t="n">
        <v>6.73</v>
      </c>
    </row>
    <row r="351">
      <c r="C351" s="172" t="n"/>
      <c r="D351" s="168" t="inlineStr">
        <is>
          <t>8029920:SAREL APPAREILLAGE ELECTRIQUE - 0.0x589.0x1.8</t>
        </is>
      </c>
      <c r="E351" s="168" t="n">
        <v>0.02</v>
      </c>
      <c r="F351" s="168" t="n">
        <v>2.1</v>
      </c>
      <c r="G351" s="169" t="n">
        <v>16.39</v>
      </c>
    </row>
    <row r="352">
      <c r="C352" s="172" t="n"/>
      <c r="D352" s="168" t="inlineStr">
        <is>
          <t>8029921:SAREL APPAREILLAGE ELECTRIQUE - 0.0x840.0x1.0</t>
        </is>
      </c>
      <c r="E352" s="168" t="n">
        <v>0.02</v>
      </c>
      <c r="F352" s="168" t="n">
        <v>1.8</v>
      </c>
      <c r="G352" s="169" t="n">
        <v>13.6</v>
      </c>
    </row>
    <row r="353">
      <c r="C353" s="172" t="n"/>
      <c r="D353" s="168" t="inlineStr">
        <is>
          <t>8029907:SAREL APPAREILLAGE ELECTRIQUE - 0.0x1021.5x1.5</t>
        </is>
      </c>
      <c r="E353" s="168" t="n">
        <v>0.03</v>
      </c>
      <c r="F353" s="168" t="n">
        <v>2.64</v>
      </c>
      <c r="G353" s="169" t="n">
        <v>11.47</v>
      </c>
    </row>
    <row r="354">
      <c r="C354" s="172" t="n"/>
      <c r="D354" s="168" t="inlineStr">
        <is>
          <t>8029930:SAREL APPAREILLAGE ELECTRIQUE - 0.0x1040.0x1.0</t>
        </is>
      </c>
      <c r="E354" s="168" t="n">
        <v>0.02</v>
      </c>
      <c r="F354" s="168" t="n">
        <v>2</v>
      </c>
      <c r="G354" s="169" t="n">
        <v>12.72</v>
      </c>
    </row>
    <row r="355">
      <c r="C355" s="172" t="n"/>
      <c r="D355" s="168" t="inlineStr">
        <is>
          <t>8029917:SAREL APPAREILLAGE ELECTRIQUE - 0.0x989.0x1.8</t>
        </is>
      </c>
      <c r="E355" s="168" t="n">
        <v>0.02</v>
      </c>
      <c r="F355" s="168" t="n">
        <v>2.5</v>
      </c>
      <c r="G355" s="169" t="n">
        <v>16.18</v>
      </c>
    </row>
    <row r="356">
      <c r="C356" s="172" t="n"/>
      <c r="D356" s="168" t="inlineStr">
        <is>
          <t>8029893:SAREL APPAREILLAGE ELECTRIQUE - 0.0x940.0x1.0</t>
        </is>
      </c>
      <c r="E356" s="168" t="n">
        <v>0.04</v>
      </c>
      <c r="F356" s="168" t="n">
        <v>3.2</v>
      </c>
      <c r="G356" s="169" t="n">
        <v>11.75</v>
      </c>
    </row>
    <row r="357">
      <c r="C357" s="172" t="n"/>
      <c r="D357" s="168" t="inlineStr">
        <is>
          <t>8029896:SAREL APPAREILLAGE ELECTRIQUE - 0.0x438.0x1.2</t>
        </is>
      </c>
      <c r="E357" s="168" t="n">
        <v>0.02</v>
      </c>
      <c r="F357" s="168" t="n">
        <v>1.5</v>
      </c>
      <c r="G357" s="169" t="n">
        <v>12.86</v>
      </c>
    </row>
    <row r="358">
      <c r="C358" s="172" t="n"/>
      <c r="D358" s="168" t="inlineStr">
        <is>
          <t>8029895:SAREL APPAREILLAGE ELECTRIQUE - 0.0x846.0x1.5</t>
        </is>
      </c>
      <c r="E358" s="168" t="n">
        <v>0.01</v>
      </c>
      <c r="F358" s="168" t="n">
        <v>1</v>
      </c>
      <c r="G358" s="169" t="n">
        <v>17.32</v>
      </c>
    </row>
    <row r="359">
      <c r="C359" s="172" t="n"/>
      <c r="D359" s="168" t="inlineStr">
        <is>
          <t>8029924:SAREL APPAREILLAGE ELECTRIQUE - 0.0x1039.0x1.15</t>
        </is>
      </c>
      <c r="E359" s="168" t="n">
        <v>0.02</v>
      </c>
      <c r="F359" s="168" t="n">
        <v>2</v>
      </c>
      <c r="G359" s="169" t="n">
        <v>16.02</v>
      </c>
    </row>
    <row r="360">
      <c r="C360" s="172" t="n"/>
      <c r="D360" s="168" t="inlineStr">
        <is>
          <t>8029928:SAREL APPAREILLAGE ELECTRIQUE - 0.0x447.0x1.0</t>
        </is>
      </c>
      <c r="E360" s="168" t="n">
        <v>0.01</v>
      </c>
      <c r="F360" s="168" t="n">
        <v>0.5</v>
      </c>
      <c r="G360" s="169" t="n">
        <v>7.38</v>
      </c>
    </row>
    <row r="361">
      <c r="C361" s="172" t="n"/>
      <c r="D361" s="168" t="inlineStr">
        <is>
          <t>8029923:SAREL APPAREILLAGE ELECTRIQUE - 0.0x1239.0x1.15</t>
        </is>
      </c>
      <c r="E361" s="168" t="n">
        <v>0.02</v>
      </c>
      <c r="F361" s="168" t="n">
        <v>1.8</v>
      </c>
      <c r="G361" s="169" t="n">
        <v>12.21</v>
      </c>
    </row>
    <row r="362">
      <c r="C362" s="172" t="n"/>
      <c r="D362" s="168" t="inlineStr">
        <is>
          <t>8029894:SAREL APPAREILLAGE ELECTRIQUE - 0.0x338.0x1.2</t>
        </is>
      </c>
      <c r="E362" s="168" t="n">
        <v>0</v>
      </c>
      <c r="F362" s="168" t="n">
        <v>0.36</v>
      </c>
      <c r="G362" s="169" t="n">
        <v>11.67</v>
      </c>
    </row>
    <row r="363">
      <c r="C363" s="172" t="n"/>
      <c r="D363" s="168" t="inlineStr">
        <is>
          <t>8029926:SAREL APPAREILLAGE ELECTRIQUE - 0.0x740.0x1.0</t>
        </is>
      </c>
      <c r="E363" s="168" t="n">
        <v>0</v>
      </c>
      <c r="F363" s="168" t="n">
        <v>0.8</v>
      </c>
      <c r="G363" s="169" t="n">
        <v>25.21</v>
      </c>
    </row>
    <row r="364">
      <c r="C364" s="172" t="n"/>
      <c r="D364" s="166" t="inlineStr">
        <is>
          <t>8029927:SAREL APPAREILLAGE ELECTRIQUE - 0.0x347.0x1.0</t>
        </is>
      </c>
      <c r="E364" s="166" t="n">
        <v>0</v>
      </c>
      <c r="F364" s="166" t="n">
        <v>0.32</v>
      </c>
      <c r="G364" s="167" t="n">
        <v>17.4</v>
      </c>
    </row>
    <row r="365">
      <c r="C365" s="172" t="n"/>
      <c r="D365" s="168" t="inlineStr">
        <is>
          <t>8112691:PAULSTRA - 0.0x94.0x0.8</t>
        </is>
      </c>
      <c r="E365" s="168" t="n">
        <v>0.1</v>
      </c>
      <c r="F365" s="168" t="n">
        <v>12</v>
      </c>
      <c r="G365" s="169" t="n">
        <v>16.35</v>
      </c>
    </row>
    <row r="366">
      <c r="C366" s="173" t="n"/>
      <c r="D366" s="174" t="inlineStr">
        <is>
          <t>8118798:PAULSTRA - 0.0x85.0x0.8</t>
        </is>
      </c>
      <c r="E366" s="174" t="n">
        <v>0.06</v>
      </c>
      <c r="F366" s="174" t="n">
        <v>8</v>
      </c>
      <c r="G366" s="175" t="n">
        <v>17.99</v>
      </c>
    </row>
    <row r="370">
      <c r="C370" s="162" t="inlineStr">
        <is>
          <t xml:space="preserve">Details for : R1 serie - Postes Forecast W16 </t>
        </is>
      </c>
      <c r="D370" s="163" t="inlineStr">
        <is>
          <t>Article : Client - Length x Width x Thickness</t>
        </is>
      </c>
      <c r="E370" s="163" t="inlineStr">
        <is>
          <t>Postes</t>
        </is>
      </c>
      <c r="F370" s="163" t="inlineStr">
        <is>
          <t>Tonnes</t>
        </is>
      </c>
      <c r="G370" s="164" t="inlineStr">
        <is>
          <t>Productivity</t>
        </is>
      </c>
    </row>
    <row r="371">
      <c r="C371" s="165" t="inlineStr">
        <is>
          <t>Sum Tonnes : 601.8</t>
        </is>
      </c>
      <c r="D371" s="168" t="inlineStr">
        <is>
          <t>8029596:VIESSMANN FAULQUEMONT SAS - 0.0x576.0x2.5</t>
        </is>
      </c>
      <c r="E371" s="168" t="n">
        <v>0.07000000000000001</v>
      </c>
      <c r="F371" s="168" t="n">
        <v>10</v>
      </c>
      <c r="G371" s="169" t="n">
        <v>19.79</v>
      </c>
    </row>
    <row r="372">
      <c r="C372" s="165" t="inlineStr">
        <is>
          <t>Sum Postes : 4.58</t>
        </is>
      </c>
      <c r="D372" s="168" t="inlineStr">
        <is>
          <t>8029020:PLACOPLATRE SA - 0.0x119.0x0.59</t>
        </is>
      </c>
      <c r="E372" s="168" t="n">
        <v>0.21</v>
      </c>
      <c r="F372" s="168" t="n">
        <v>25</v>
      </c>
      <c r="G372" s="169" t="n">
        <v>15.96</v>
      </c>
    </row>
    <row r="373">
      <c r="C373" s="165" t="inlineStr">
        <is>
          <t>Average Productivity : 17.52</t>
        </is>
      </c>
      <c r="D373" s="168" t="inlineStr">
        <is>
          <t>8033590:SIMPSON STRONG-TIE SAS - 0.0x250.0x1.5</t>
        </is>
      </c>
      <c r="E373" s="168" t="n">
        <v>0.03</v>
      </c>
      <c r="F373" s="168" t="n">
        <v>2.5</v>
      </c>
      <c r="G373" s="169" t="n">
        <v>12.37</v>
      </c>
    </row>
    <row r="374">
      <c r="C374" s="172" t="n"/>
      <c r="D374" s="168" t="inlineStr">
        <is>
          <t>8046459:SIMPSON STRONG-TIE SAS - 0.0x540.0x2.5</t>
        </is>
      </c>
      <c r="E374" s="168" t="n">
        <v>0.17</v>
      </c>
      <c r="F374" s="168" t="n">
        <v>4</v>
      </c>
      <c r="G374" s="169" t="n">
        <v>3.19</v>
      </c>
    </row>
    <row r="375">
      <c r="C375" s="172" t="n"/>
      <c r="D375" s="168" t="inlineStr">
        <is>
          <t>8042388:SIMPSON STRONG-TIE SAS - 0.0x275.0x3.0</t>
        </is>
      </c>
      <c r="E375" s="168" t="n">
        <v>0.18</v>
      </c>
      <c r="F375" s="168" t="n">
        <v>39.1</v>
      </c>
      <c r="G375" s="169" t="n">
        <v>28.62</v>
      </c>
    </row>
    <row r="376">
      <c r="C376" s="172" t="n"/>
      <c r="D376" s="168" t="inlineStr">
        <is>
          <t>8033009:SIMPSON STRONG-TIE SAS - 0.0x214.0x3.0</t>
        </is>
      </c>
      <c r="E376" s="168" t="n">
        <v>0.06</v>
      </c>
      <c r="F376" s="168" t="n">
        <v>11</v>
      </c>
      <c r="G376" s="169" t="n">
        <v>24.12</v>
      </c>
    </row>
    <row r="377">
      <c r="C377" s="172" t="n"/>
      <c r="D377" s="168" t="inlineStr">
        <is>
          <t>8033497:SIMPSON STRONG-TIE SAS - 0.0x260.0x1.5</t>
        </is>
      </c>
      <c r="E377" s="168" t="n">
        <v>0.02</v>
      </c>
      <c r="F377" s="168" t="n">
        <v>2.5</v>
      </c>
      <c r="G377" s="169" t="n">
        <v>18.66</v>
      </c>
    </row>
    <row r="378">
      <c r="C378" s="172" t="n"/>
      <c r="D378" s="168" t="inlineStr">
        <is>
          <t>8040826:SIMPSON STRONG-TIE SAS - 0.0x120.0x2.5</t>
        </is>
      </c>
      <c r="E378" s="168" t="n">
        <v>0.01</v>
      </c>
      <c r="F378" s="168" t="n">
        <v>1.2</v>
      </c>
      <c r="G378" s="169" t="n">
        <v>21.25</v>
      </c>
    </row>
    <row r="379">
      <c r="C379" s="172" t="n"/>
      <c r="D379" s="168" t="inlineStr">
        <is>
          <t>8040826:SIMPSON STRONG-TIE SAS - 0.0x120.0x2.5</t>
        </is>
      </c>
      <c r="E379" s="168" t="n">
        <v>0.02</v>
      </c>
      <c r="F379" s="168" t="n">
        <v>3.5</v>
      </c>
      <c r="G379" s="169" t="n">
        <v>21.25</v>
      </c>
    </row>
    <row r="380">
      <c r="C380" s="172" t="n"/>
      <c r="D380" s="168" t="inlineStr">
        <is>
          <t>8033596:SIMPSON STRONG-TIE SAS - 0.0x300.0x2.5</t>
        </is>
      </c>
      <c r="E380" s="168" t="n">
        <v>0.2</v>
      </c>
      <c r="F380" s="168" t="n">
        <v>18.7</v>
      </c>
      <c r="G380" s="169" t="n">
        <v>12.67</v>
      </c>
    </row>
    <row r="381">
      <c r="C381" s="172" t="n"/>
      <c r="D381" s="168" t="inlineStr">
        <is>
          <t>8033597:SIMPSON STRONG-TIE SAS - 0.0x200.0x3.0</t>
        </is>
      </c>
      <c r="E381" s="168" t="n">
        <v>0.06</v>
      </c>
      <c r="F381" s="168" t="n">
        <v>13.3</v>
      </c>
      <c r="G381" s="169" t="n">
        <v>28.62</v>
      </c>
    </row>
    <row r="382">
      <c r="C382" s="172" t="n"/>
      <c r="D382" s="168" t="inlineStr">
        <is>
          <t>8029019:PLACOPLATRE SA - 0.0x92.0x0.59</t>
        </is>
      </c>
      <c r="E382" s="168" t="n">
        <v>0.23</v>
      </c>
      <c r="F382" s="168" t="n">
        <v>28</v>
      </c>
      <c r="G382" s="169" t="n">
        <v>16.3</v>
      </c>
    </row>
    <row r="383">
      <c r="C383" s="172" t="n"/>
      <c r="D383" s="168" t="inlineStr">
        <is>
          <t>8029712:RICHTER SYSTEM / SCHULTZ - 0.0x118.0x0.58</t>
        </is>
      </c>
      <c r="E383" s="168" t="n">
        <v>0.53</v>
      </c>
      <c r="F383" s="168" t="n">
        <v>50</v>
      </c>
      <c r="G383" s="169" t="n">
        <v>12.6</v>
      </c>
    </row>
    <row r="384">
      <c r="C384" s="172" t="n"/>
      <c r="D384" s="168" t="inlineStr">
        <is>
          <t>8033078:SIMPSON STRONG-TIE SAS - 0.0x195.0x2.0</t>
        </is>
      </c>
      <c r="E384" s="168" t="n">
        <v>0.09</v>
      </c>
      <c r="F384" s="168" t="n">
        <v>12.6</v>
      </c>
      <c r="G384" s="169" t="n">
        <v>19.45</v>
      </c>
    </row>
    <row r="385">
      <c r="C385" s="172" t="n"/>
      <c r="D385" s="168" t="inlineStr">
        <is>
          <t>8033080:SIMPSON STRONG-TIE SAS - 0.0x324.0x2.0</t>
        </is>
      </c>
      <c r="E385" s="168" t="n">
        <v>0.08</v>
      </c>
      <c r="F385" s="168" t="n">
        <v>11.837</v>
      </c>
      <c r="G385" s="169" t="n">
        <v>19.45</v>
      </c>
    </row>
    <row r="386">
      <c r="C386" s="172" t="n"/>
      <c r="D386" s="168" t="inlineStr">
        <is>
          <t>8014488:TRICO BELGIUM SA - 0.0x120.0x1.48</t>
        </is>
      </c>
      <c r="E386" s="168" t="n">
        <v>0.26</v>
      </c>
      <c r="F386" s="168" t="n">
        <v>25</v>
      </c>
      <c r="G386" s="169" t="n">
        <v>13.01</v>
      </c>
    </row>
    <row r="387">
      <c r="C387" s="172" t="n"/>
      <c r="D387" s="168" t="inlineStr">
        <is>
          <t>8017856:MA POLSKA - 0.0x293.5x0.95</t>
        </is>
      </c>
      <c r="E387" s="168" t="n">
        <v>0.17</v>
      </c>
      <c r="F387" s="168" t="n">
        <v>25</v>
      </c>
      <c r="G387" s="169" t="n">
        <v>19.06</v>
      </c>
    </row>
    <row r="388">
      <c r="C388" s="172" t="n"/>
      <c r="D388" s="168" t="inlineStr">
        <is>
          <t>8022968:BAOMARC - 0.0x304.0x1.5</t>
        </is>
      </c>
      <c r="E388" s="168" t="n">
        <v>0.18</v>
      </c>
      <c r="F388" s="168" t="n">
        <v>25</v>
      </c>
      <c r="G388" s="169" t="n">
        <v>18.13</v>
      </c>
    </row>
    <row r="389">
      <c r="C389" s="172" t="n"/>
      <c r="D389" s="168" t="inlineStr">
        <is>
          <t>8027664:SNOP VILLEPINTE - 0.0x212.8x1.15</t>
        </is>
      </c>
      <c r="E389" s="168" t="n">
        <v>0.15</v>
      </c>
      <c r="F389" s="168" t="n">
        <v>28.8</v>
      </c>
      <c r="G389" s="169" t="n">
        <v>26.4</v>
      </c>
    </row>
    <row r="390">
      <c r="C390" s="172" t="n"/>
      <c r="D390" s="168" t="inlineStr">
        <is>
          <t>8027662:SNOP VILLEPINTE - 0.0x101.5x1.05</t>
        </is>
      </c>
      <c r="E390" s="168" t="n">
        <v>0.14</v>
      </c>
      <c r="F390" s="168" t="n">
        <v>18.7</v>
      </c>
      <c r="G390" s="169" t="n">
        <v>18.23</v>
      </c>
    </row>
    <row r="391">
      <c r="C391" s="172" t="n"/>
      <c r="D391" s="168" t="inlineStr">
        <is>
          <t>8027928:MA SRL - 0.0x320.0x1.4</t>
        </is>
      </c>
      <c r="E391" s="168" t="n">
        <v>0.17</v>
      </c>
      <c r="F391" s="168" t="n">
        <v>25</v>
      </c>
      <c r="G391" s="169" t="n">
        <v>19.66</v>
      </c>
    </row>
    <row r="392">
      <c r="C392" s="172" t="n"/>
      <c r="D392" s="168" t="inlineStr">
        <is>
          <t>8008096:GESTAMP NOURY S.A. - 0.0x260.4x1.5</t>
        </is>
      </c>
      <c r="E392" s="168" t="n">
        <v>0.34</v>
      </c>
      <c r="F392" s="168" t="n">
        <v>48</v>
      </c>
      <c r="G392" s="169" t="n">
        <v>19.06</v>
      </c>
    </row>
    <row r="393">
      <c r="C393" s="172" t="n"/>
      <c r="D393" s="168" t="inlineStr">
        <is>
          <t>8050618:MA POLSKA - 0.0x320.0x1.4</t>
        </is>
      </c>
      <c r="E393" s="168" t="n">
        <v>0.15</v>
      </c>
      <c r="F393" s="168" t="n">
        <v>21</v>
      </c>
      <c r="G393" s="169" t="n">
        <v>19.02</v>
      </c>
    </row>
    <row r="394">
      <c r="C394" s="172" t="n"/>
      <c r="D394" s="168" t="inlineStr">
        <is>
          <t>8058392:BAOMARC - 0.0x563.0x2.0</t>
        </is>
      </c>
      <c r="E394" s="168" t="n">
        <v>0.32</v>
      </c>
      <c r="F394" s="168" t="n">
        <v>50</v>
      </c>
      <c r="G394" s="169" t="n">
        <v>21.04</v>
      </c>
    </row>
    <row r="395">
      <c r="C395" s="172" t="n"/>
      <c r="D395" s="170" t="inlineStr">
        <is>
          <t>8061680:SNOP VILLEPINTE - 0.0x298.8x1.05</t>
        </is>
      </c>
      <c r="E395" s="170" t="n">
        <v>0.33</v>
      </c>
      <c r="F395" s="170" t="n">
        <v>60.2</v>
      </c>
      <c r="G395" s="171" t="n">
        <v>24.07</v>
      </c>
    </row>
    <row r="396">
      <c r="C396" s="172" t="n"/>
      <c r="D396" s="168" t="inlineStr">
        <is>
          <t>8061732:SNOP VILLEPINTE - 0.0x302.3x1.2</t>
        </is>
      </c>
      <c r="E396" s="168" t="n">
        <v>0.05</v>
      </c>
      <c r="F396" s="168" t="n">
        <v>8.4</v>
      </c>
      <c r="G396" s="169" t="n">
        <v>24.78</v>
      </c>
    </row>
    <row r="397">
      <c r="C397" s="172" t="n"/>
      <c r="D397" s="168" t="inlineStr">
        <is>
          <t>8029922:SAREL APPAREILLAGE ELECTRIQUE - 0.0x1139.0x1.15</t>
        </is>
      </c>
      <c r="E397" s="168" t="n">
        <v>0.02</v>
      </c>
      <c r="F397" s="168" t="n">
        <v>2</v>
      </c>
      <c r="G397" s="169" t="n">
        <v>13.29</v>
      </c>
    </row>
    <row r="398">
      <c r="C398" s="172" t="n"/>
      <c r="D398" s="168" t="inlineStr">
        <is>
          <t>8029925:SAREL APPAREILLAGE ELECTRIQUE - 0.0x640.0x1.0</t>
        </is>
      </c>
      <c r="E398" s="168" t="n">
        <v>0.01</v>
      </c>
      <c r="F398" s="168" t="n">
        <v>0.9</v>
      </c>
      <c r="G398" s="169" t="n">
        <v>19.52</v>
      </c>
    </row>
    <row r="399">
      <c r="C399" s="172" t="n"/>
      <c r="D399" s="168" t="inlineStr">
        <is>
          <t>8029911:SAREL APPAREILLAGE ELECTRIQUE - 0.0x821.5x1.5</t>
        </is>
      </c>
      <c r="E399" s="168" t="n">
        <v>0.01</v>
      </c>
      <c r="F399" s="168" t="n">
        <v>1.72</v>
      </c>
      <c r="G399" s="169" t="n">
        <v>18.03</v>
      </c>
    </row>
    <row r="400">
      <c r="C400" s="172" t="n"/>
      <c r="D400" s="168" t="inlineStr">
        <is>
          <t>8029912:SAREL APPAREILLAGE ELECTRIQUE - 0.0x1046.0x1.5</t>
        </is>
      </c>
      <c r="E400" s="168" t="n">
        <v>0.02</v>
      </c>
      <c r="F400" s="168" t="n">
        <v>2</v>
      </c>
      <c r="G400" s="169" t="n">
        <v>10.96</v>
      </c>
    </row>
    <row r="401">
      <c r="C401" s="172" t="n"/>
      <c r="D401" s="168" t="inlineStr">
        <is>
          <t>8029910:SAREL APPAREILLAGE ELECTRIQUE - 0.0x621.5x1.5</t>
        </is>
      </c>
      <c r="E401" s="168" t="n">
        <v>0.04</v>
      </c>
      <c r="F401" s="168" t="n">
        <v>1.92</v>
      </c>
      <c r="G401" s="169" t="n">
        <v>6.89</v>
      </c>
    </row>
    <row r="402">
      <c r="C402" s="172" t="n"/>
      <c r="D402" s="168" t="inlineStr">
        <is>
          <t>8029913:SAREL APPAREILLAGE ELECTRIQUE - 0.0x1246.0x1.5</t>
        </is>
      </c>
      <c r="E402" s="168" t="n">
        <v>0.01</v>
      </c>
      <c r="F402" s="168" t="n">
        <v>0.9</v>
      </c>
      <c r="G402" s="169" t="n">
        <v>12.13</v>
      </c>
    </row>
    <row r="403">
      <c r="C403" s="172" t="n"/>
      <c r="D403" s="168" t="inlineStr">
        <is>
          <t>8029920:SAREL APPAREILLAGE ELECTRIQUE - 0.0x589.0x1.8</t>
        </is>
      </c>
      <c r="E403" s="168" t="n">
        <v>0.02</v>
      </c>
      <c r="F403" s="168" t="n">
        <v>2.1</v>
      </c>
      <c r="G403" s="169" t="n">
        <v>16.39</v>
      </c>
    </row>
    <row r="404">
      <c r="C404" s="172" t="n"/>
      <c r="D404" s="168" t="inlineStr">
        <is>
          <t>8029921:SAREL APPAREILLAGE ELECTRIQUE - 0.0x840.0x1.0</t>
        </is>
      </c>
      <c r="E404" s="168" t="n">
        <v>0.02</v>
      </c>
      <c r="F404" s="168" t="n">
        <v>1.8</v>
      </c>
      <c r="G404" s="169" t="n">
        <v>13.6</v>
      </c>
    </row>
    <row r="405">
      <c r="C405" s="172" t="n"/>
      <c r="D405" s="168" t="inlineStr">
        <is>
          <t>8029907:SAREL APPAREILLAGE ELECTRIQUE - 0.0x1021.5x1.5</t>
        </is>
      </c>
      <c r="E405" s="168" t="n">
        <v>0.03</v>
      </c>
      <c r="F405" s="168" t="n">
        <v>2.64</v>
      </c>
      <c r="G405" s="169" t="n">
        <v>11.47</v>
      </c>
    </row>
    <row r="406">
      <c r="C406" s="172" t="n"/>
      <c r="D406" s="168" t="inlineStr">
        <is>
          <t>8029930:SAREL APPAREILLAGE ELECTRIQUE - 0.0x1040.0x1.0</t>
        </is>
      </c>
      <c r="E406" s="168" t="n">
        <v>0.02</v>
      </c>
      <c r="F406" s="168" t="n">
        <v>2</v>
      </c>
      <c r="G406" s="169" t="n">
        <v>12.72</v>
      </c>
    </row>
    <row r="407">
      <c r="C407" s="172" t="n"/>
      <c r="D407" s="168" t="inlineStr">
        <is>
          <t>8029893:SAREL APPAREILLAGE ELECTRIQUE - 0.0x940.0x1.0</t>
        </is>
      </c>
      <c r="E407" s="168" t="n">
        <v>0.04</v>
      </c>
      <c r="F407" s="168" t="n">
        <v>3.2</v>
      </c>
      <c r="G407" s="169" t="n">
        <v>11.75</v>
      </c>
    </row>
    <row r="408">
      <c r="C408" s="172" t="n"/>
      <c r="D408" s="168" t="inlineStr">
        <is>
          <t>8029896:SAREL APPAREILLAGE ELECTRIQUE - 0.0x438.0x1.2</t>
        </is>
      </c>
      <c r="E408" s="168" t="n">
        <v>0.02</v>
      </c>
      <c r="F408" s="168" t="n">
        <v>1.5</v>
      </c>
      <c r="G408" s="169" t="n">
        <v>12.86</v>
      </c>
    </row>
    <row r="409">
      <c r="C409" s="172" t="n"/>
      <c r="D409" s="168" t="inlineStr">
        <is>
          <t>8029895:SAREL APPAREILLAGE ELECTRIQUE - 0.0x846.0x1.5</t>
        </is>
      </c>
      <c r="E409" s="168" t="n">
        <v>0.01</v>
      </c>
      <c r="F409" s="168" t="n">
        <v>1</v>
      </c>
      <c r="G409" s="169" t="n">
        <v>17.32</v>
      </c>
    </row>
    <row r="410">
      <c r="C410" s="172" t="n"/>
      <c r="D410" s="168" t="inlineStr">
        <is>
          <t>8029924:SAREL APPAREILLAGE ELECTRIQUE - 0.0x1039.0x1.15</t>
        </is>
      </c>
      <c r="E410" s="168" t="n">
        <v>0.02</v>
      </c>
      <c r="F410" s="168" t="n">
        <v>2</v>
      </c>
      <c r="G410" s="169" t="n">
        <v>16.02</v>
      </c>
    </row>
    <row r="411">
      <c r="C411" s="172" t="n"/>
      <c r="D411" s="168" t="inlineStr">
        <is>
          <t>8029928:SAREL APPAREILLAGE ELECTRIQUE - 0.0x447.0x1.0</t>
        </is>
      </c>
      <c r="E411" s="168" t="n">
        <v>0.01</v>
      </c>
      <c r="F411" s="168" t="n">
        <v>0.5</v>
      </c>
      <c r="G411" s="169" t="n">
        <v>7.38</v>
      </c>
    </row>
    <row r="412">
      <c r="C412" s="172" t="n"/>
      <c r="D412" s="168" t="inlineStr">
        <is>
          <t>8029923:SAREL APPAREILLAGE ELECTRIQUE - 0.0x1239.0x1.15</t>
        </is>
      </c>
      <c r="E412" s="168" t="n">
        <v>0.02</v>
      </c>
      <c r="F412" s="168" t="n">
        <v>1.8</v>
      </c>
      <c r="G412" s="169" t="n">
        <v>12.21</v>
      </c>
    </row>
    <row r="413">
      <c r="C413" s="172" t="n"/>
      <c r="D413" s="168" t="inlineStr">
        <is>
          <t>8029894:SAREL APPAREILLAGE ELECTRIQUE - 0.0x338.0x1.2</t>
        </is>
      </c>
      <c r="E413" s="168" t="n">
        <v>0</v>
      </c>
      <c r="F413" s="168" t="n">
        <v>0.36</v>
      </c>
      <c r="G413" s="169" t="n">
        <v>11.67</v>
      </c>
    </row>
    <row r="414">
      <c r="C414" s="172" t="n"/>
      <c r="D414" s="168" t="inlineStr">
        <is>
          <t>8029926:SAREL APPAREILLAGE ELECTRIQUE - 0.0x740.0x1.0</t>
        </is>
      </c>
      <c r="E414" s="168" t="n">
        <v>0</v>
      </c>
      <c r="F414" s="168" t="n">
        <v>0.8</v>
      </c>
      <c r="G414" s="169" t="n">
        <v>25.21</v>
      </c>
    </row>
    <row r="415">
      <c r="C415" s="172" t="n"/>
      <c r="D415" s="166" t="inlineStr">
        <is>
          <t>8029927:SAREL APPAREILLAGE ELECTRIQUE - 0.0x347.0x1.0</t>
        </is>
      </c>
      <c r="E415" s="166" t="n">
        <v>0</v>
      </c>
      <c r="F415" s="166" t="n">
        <v>0.32</v>
      </c>
      <c r="G415" s="167" t="n">
        <v>17.4</v>
      </c>
    </row>
    <row r="416">
      <c r="C416" s="173" t="n"/>
      <c r="D416" s="174" t="inlineStr">
        <is>
          <t>8106440:MAGNA LORRAINE - 0.0x590.0x0.6</t>
        </is>
      </c>
      <c r="E416" s="174" t="n">
        <v>0.04</v>
      </c>
      <c r="F416" s="174" t="n">
        <v>4</v>
      </c>
      <c r="G416" s="175" t="n">
        <v>14.02</v>
      </c>
    </row>
    <row r="420">
      <c r="C420" s="162" t="inlineStr">
        <is>
          <t xml:space="preserve">Details for : R1 serie - Postes Forecast W17 </t>
        </is>
      </c>
      <c r="D420" s="163" t="inlineStr">
        <is>
          <t>Article : Client - Length x Width x Thickness</t>
        </is>
      </c>
      <c r="E420" s="163" t="inlineStr">
        <is>
          <t>Postes</t>
        </is>
      </c>
      <c r="F420" s="163" t="inlineStr">
        <is>
          <t>Tonnes</t>
        </is>
      </c>
      <c r="G420" s="164" t="inlineStr">
        <is>
          <t>Productivity</t>
        </is>
      </c>
    </row>
    <row r="421">
      <c r="C421" s="165" t="inlineStr">
        <is>
          <t>Sum Tonnes : 520.38</t>
        </is>
      </c>
      <c r="D421" s="168" t="inlineStr">
        <is>
          <t>8029598:VIESSMANN FAULQUEMONT SAS - 0.0x559.0x2.0</t>
        </is>
      </c>
      <c r="E421" s="168" t="n">
        <v>0.08</v>
      </c>
      <c r="F421" s="168" t="n">
        <v>15</v>
      </c>
      <c r="G421" s="169" t="n">
        <v>25.04</v>
      </c>
    </row>
    <row r="422">
      <c r="C422" s="165" t="inlineStr">
        <is>
          <t>Sum Postes : 3.86</t>
        </is>
      </c>
      <c r="D422" s="168" t="inlineStr">
        <is>
          <t>8110841:VIESSMANN FAULQUEMONT SAS - 0.0x469.0x0.7</t>
        </is>
      </c>
      <c r="E422" s="168" t="n">
        <v>0.14</v>
      </c>
      <c r="F422" s="168" t="n">
        <v>20</v>
      </c>
      <c r="G422" s="169" t="n">
        <v>18.64</v>
      </c>
    </row>
    <row r="423">
      <c r="C423" s="165" t="inlineStr">
        <is>
          <t>Average Productivity : 17.98</t>
        </is>
      </c>
      <c r="D423" s="168" t="inlineStr">
        <is>
          <t>8085848:BUBENDORFF SAS - 0.0x185.0x0.6</t>
        </is>
      </c>
      <c r="E423" s="168" t="n">
        <v>0.14</v>
      </c>
      <c r="F423" s="168" t="n">
        <v>20</v>
      </c>
      <c r="G423" s="169" t="n">
        <v>18.86</v>
      </c>
    </row>
    <row r="424">
      <c r="C424" s="172" t="n"/>
      <c r="D424" s="170" t="inlineStr">
        <is>
          <t>8029020:PLACOPLATRE SA - 0.0x119.0x0.59</t>
        </is>
      </c>
      <c r="E424" s="170" t="n">
        <v>0.47</v>
      </c>
      <c r="F424" s="170" t="n">
        <v>56</v>
      </c>
      <c r="G424" s="171" t="n">
        <v>15.96</v>
      </c>
    </row>
    <row r="425">
      <c r="C425" s="172" t="n"/>
      <c r="D425" s="168" t="inlineStr">
        <is>
          <t>8029712:RICHTER SYSTEM / SCHULTZ - 0.0x118.0x0.58</t>
        </is>
      </c>
      <c r="E425" s="168" t="n">
        <v>0.53</v>
      </c>
      <c r="F425" s="168" t="n">
        <v>50</v>
      </c>
      <c r="G425" s="169" t="n">
        <v>12.6</v>
      </c>
    </row>
    <row r="426">
      <c r="C426" s="172" t="n"/>
      <c r="D426" s="168" t="inlineStr">
        <is>
          <t>8029019:PLACOPLATRE SA - 0.0x92.0x0.59</t>
        </is>
      </c>
      <c r="E426" s="168" t="n">
        <v>0.23</v>
      </c>
      <c r="F426" s="168" t="n">
        <v>28</v>
      </c>
      <c r="G426" s="169" t="n">
        <v>16.3</v>
      </c>
    </row>
    <row r="427">
      <c r="C427" s="172" t="n"/>
      <c r="D427" s="168" t="inlineStr">
        <is>
          <t>8011976:MAGNA LORRAINE - 0.0x705.0x3.5</t>
        </is>
      </c>
      <c r="E427" s="168" t="n">
        <v>0.14</v>
      </c>
      <c r="F427" s="168" t="n">
        <v>23</v>
      </c>
      <c r="G427" s="169" t="n">
        <v>21.6</v>
      </c>
    </row>
    <row r="428">
      <c r="C428" s="172" t="n"/>
      <c r="D428" s="168" t="inlineStr">
        <is>
          <t>8013898:GESTAMP NOURY S.A. - 0.0x289.3x1.5</t>
        </is>
      </c>
      <c r="E428" s="168" t="n">
        <v>0.08</v>
      </c>
      <c r="F428" s="168" t="n">
        <v>12</v>
      </c>
      <c r="G428" s="169" t="n">
        <v>19.51</v>
      </c>
    </row>
    <row r="429">
      <c r="C429" s="172" t="n"/>
      <c r="D429" s="168" t="inlineStr">
        <is>
          <t>8027664:SNOP VILLEPINTE - 0.0x212.8x1.15</t>
        </is>
      </c>
      <c r="E429" s="168" t="n">
        <v>0.16</v>
      </c>
      <c r="F429" s="168" t="n">
        <v>32.4</v>
      </c>
      <c r="G429" s="169" t="n">
        <v>26.4</v>
      </c>
    </row>
    <row r="430">
      <c r="C430" s="172" t="n"/>
      <c r="D430" s="168" t="inlineStr">
        <is>
          <t>8027662:SNOP VILLEPINTE - 0.0x101.5x1.05</t>
        </is>
      </c>
      <c r="E430" s="168" t="n">
        <v>0.12</v>
      </c>
      <c r="F430" s="168" t="n">
        <v>17</v>
      </c>
      <c r="G430" s="169" t="n">
        <v>18.23</v>
      </c>
    </row>
    <row r="431">
      <c r="C431" s="172" t="n"/>
      <c r="D431" s="168" t="inlineStr">
        <is>
          <t>8027928:MA SRL - 0.0x320.0x1.4</t>
        </is>
      </c>
      <c r="E431" s="168" t="n">
        <v>0.34</v>
      </c>
      <c r="F431" s="168" t="n">
        <v>50</v>
      </c>
      <c r="G431" s="169" t="n">
        <v>19.66</v>
      </c>
    </row>
    <row r="432">
      <c r="C432" s="172" t="n"/>
      <c r="D432" s="168" t="inlineStr">
        <is>
          <t>8008096:GESTAMP NOURY S.A. - 0.0x260.4x1.5</t>
        </is>
      </c>
      <c r="E432" s="168" t="n">
        <v>0.21</v>
      </c>
      <c r="F432" s="168" t="n">
        <v>30</v>
      </c>
      <c r="G432" s="169" t="n">
        <v>19.06</v>
      </c>
    </row>
    <row r="433">
      <c r="C433" s="172" t="n"/>
      <c r="D433" s="168" t="inlineStr">
        <is>
          <t>8041076:MA SRL - 0.0x301.0x1.3</t>
        </is>
      </c>
      <c r="E433" s="168" t="n">
        <v>0.18</v>
      </c>
      <c r="F433" s="168" t="n">
        <v>25</v>
      </c>
      <c r="G433" s="169" t="n">
        <v>18.98</v>
      </c>
    </row>
    <row r="434">
      <c r="C434" s="172" t="n"/>
      <c r="D434" s="168" t="inlineStr">
        <is>
          <t>8050618:MA POLSKA - 0.0x320.0x1.4</t>
        </is>
      </c>
      <c r="E434" s="168" t="n">
        <v>0.15</v>
      </c>
      <c r="F434" s="168" t="n">
        <v>21</v>
      </c>
      <c r="G434" s="169" t="n">
        <v>19.02</v>
      </c>
    </row>
    <row r="435">
      <c r="C435" s="172" t="n"/>
      <c r="D435" s="168" t="inlineStr">
        <is>
          <t>8061680:SNOP VILLEPINTE - 0.0x298.8x1.05</t>
        </is>
      </c>
      <c r="E435" s="168" t="n">
        <v>0.26</v>
      </c>
      <c r="F435" s="168" t="n">
        <v>47.3</v>
      </c>
      <c r="G435" s="169" t="n">
        <v>24.07</v>
      </c>
    </row>
    <row r="436">
      <c r="C436" s="172" t="n"/>
      <c r="D436" s="168" t="inlineStr">
        <is>
          <t>8061732:SNOP VILLEPINTE - 0.0x302.3x1.2</t>
        </is>
      </c>
      <c r="E436" s="168" t="n">
        <v>0.11</v>
      </c>
      <c r="F436" s="168" t="n">
        <v>21</v>
      </c>
      <c r="G436" s="169" t="n">
        <v>24.78</v>
      </c>
    </row>
    <row r="437">
      <c r="C437" s="172" t="n"/>
      <c r="D437" s="168" t="inlineStr">
        <is>
          <t>8029922:SAREL APPAREILLAGE ELECTRIQUE - 0.0x1139.0x1.15</t>
        </is>
      </c>
      <c r="E437" s="168" t="n">
        <v>0.02</v>
      </c>
      <c r="F437" s="168" t="n">
        <v>2</v>
      </c>
      <c r="G437" s="169" t="n">
        <v>13.29</v>
      </c>
    </row>
    <row r="438">
      <c r="C438" s="172" t="n"/>
      <c r="D438" s="168" t="inlineStr">
        <is>
          <t>8029925:SAREL APPAREILLAGE ELECTRIQUE - 0.0x640.0x1.0</t>
        </is>
      </c>
      <c r="E438" s="168" t="n">
        <v>0.01</v>
      </c>
      <c r="F438" s="168" t="n">
        <v>0.9</v>
      </c>
      <c r="G438" s="169" t="n">
        <v>19.52</v>
      </c>
    </row>
    <row r="439">
      <c r="C439" s="172" t="n"/>
      <c r="D439" s="168" t="inlineStr">
        <is>
          <t>8029911:SAREL APPAREILLAGE ELECTRIQUE - 0.0x821.5x1.5</t>
        </is>
      </c>
      <c r="E439" s="168" t="n">
        <v>0.01</v>
      </c>
      <c r="F439" s="168" t="n">
        <v>1.72</v>
      </c>
      <c r="G439" s="169" t="n">
        <v>18.03</v>
      </c>
    </row>
    <row r="440">
      <c r="C440" s="172" t="n"/>
      <c r="D440" s="168" t="inlineStr">
        <is>
          <t>8029912:SAREL APPAREILLAGE ELECTRIQUE - 0.0x1046.0x1.5</t>
        </is>
      </c>
      <c r="E440" s="168" t="n">
        <v>0.02</v>
      </c>
      <c r="F440" s="168" t="n">
        <v>2</v>
      </c>
      <c r="G440" s="169" t="n">
        <v>10.96</v>
      </c>
    </row>
    <row r="441">
      <c r="C441" s="172" t="n"/>
      <c r="D441" s="168" t="inlineStr">
        <is>
          <t>8029910:SAREL APPAREILLAGE ELECTRIQUE - 0.0x621.5x1.5</t>
        </is>
      </c>
      <c r="E441" s="168" t="n">
        <v>0.04</v>
      </c>
      <c r="F441" s="168" t="n">
        <v>1.92</v>
      </c>
      <c r="G441" s="169" t="n">
        <v>6.89</v>
      </c>
    </row>
    <row r="442">
      <c r="C442" s="172" t="n"/>
      <c r="D442" s="168" t="inlineStr">
        <is>
          <t>8029913:SAREL APPAREILLAGE ELECTRIQUE - 0.0x1246.0x1.5</t>
        </is>
      </c>
      <c r="E442" s="168" t="n">
        <v>0.01</v>
      </c>
      <c r="F442" s="168" t="n">
        <v>0.9</v>
      </c>
      <c r="G442" s="169" t="n">
        <v>12.13</v>
      </c>
    </row>
    <row r="443">
      <c r="C443" s="172" t="n"/>
      <c r="D443" s="168" t="inlineStr">
        <is>
          <t>8029920:SAREL APPAREILLAGE ELECTRIQUE - 0.0x589.0x1.8</t>
        </is>
      </c>
      <c r="E443" s="168" t="n">
        <v>0.02</v>
      </c>
      <c r="F443" s="168" t="n">
        <v>2.1</v>
      </c>
      <c r="G443" s="169" t="n">
        <v>16.39</v>
      </c>
    </row>
    <row r="444">
      <c r="C444" s="172" t="n"/>
      <c r="D444" s="168" t="inlineStr">
        <is>
          <t>8029921:SAREL APPAREILLAGE ELECTRIQUE - 0.0x840.0x1.0</t>
        </is>
      </c>
      <c r="E444" s="168" t="n">
        <v>0.02</v>
      </c>
      <c r="F444" s="168" t="n">
        <v>1.8</v>
      </c>
      <c r="G444" s="169" t="n">
        <v>13.6</v>
      </c>
    </row>
    <row r="445">
      <c r="C445" s="172" t="n"/>
      <c r="D445" s="168" t="inlineStr">
        <is>
          <t>8029907:SAREL APPAREILLAGE ELECTRIQUE - 0.0x1021.5x1.5</t>
        </is>
      </c>
      <c r="E445" s="168" t="n">
        <v>0.03</v>
      </c>
      <c r="F445" s="168" t="n">
        <v>2.64</v>
      </c>
      <c r="G445" s="169" t="n">
        <v>11.47</v>
      </c>
    </row>
    <row r="446">
      <c r="C446" s="172" t="n"/>
      <c r="D446" s="168" t="inlineStr">
        <is>
          <t>8029930:SAREL APPAREILLAGE ELECTRIQUE - 0.0x1040.0x1.0</t>
        </is>
      </c>
      <c r="E446" s="168" t="n">
        <v>0.02</v>
      </c>
      <c r="F446" s="168" t="n">
        <v>2</v>
      </c>
      <c r="G446" s="169" t="n">
        <v>12.72</v>
      </c>
    </row>
    <row r="447">
      <c r="C447" s="172" t="n"/>
      <c r="D447" s="168" t="inlineStr">
        <is>
          <t>8029893:SAREL APPAREILLAGE ELECTRIQUE - 0.0x940.0x1.0</t>
        </is>
      </c>
      <c r="E447" s="168" t="n">
        <v>0.04</v>
      </c>
      <c r="F447" s="168" t="n">
        <v>3.2</v>
      </c>
      <c r="G447" s="169" t="n">
        <v>11.75</v>
      </c>
    </row>
    <row r="448">
      <c r="C448" s="172" t="n"/>
      <c r="D448" s="168" t="inlineStr">
        <is>
          <t>8029896:SAREL APPAREILLAGE ELECTRIQUE - 0.0x438.0x1.2</t>
        </is>
      </c>
      <c r="E448" s="168" t="n">
        <v>0.02</v>
      </c>
      <c r="F448" s="168" t="n">
        <v>1.5</v>
      </c>
      <c r="G448" s="169" t="n">
        <v>12.86</v>
      </c>
    </row>
    <row r="449">
      <c r="C449" s="172" t="n"/>
      <c r="D449" s="168" t="inlineStr">
        <is>
          <t>8029895:SAREL APPAREILLAGE ELECTRIQUE - 0.0x846.0x1.5</t>
        </is>
      </c>
      <c r="E449" s="168" t="n">
        <v>0.01</v>
      </c>
      <c r="F449" s="168" t="n">
        <v>1</v>
      </c>
      <c r="G449" s="169" t="n">
        <v>17.32</v>
      </c>
    </row>
    <row r="450">
      <c r="C450" s="172" t="n"/>
      <c r="D450" s="168" t="inlineStr">
        <is>
          <t>8029924:SAREL APPAREILLAGE ELECTRIQUE - 0.0x1039.0x1.15</t>
        </is>
      </c>
      <c r="E450" s="168" t="n">
        <v>0.02</v>
      </c>
      <c r="F450" s="168" t="n">
        <v>2</v>
      </c>
      <c r="G450" s="169" t="n">
        <v>16.02</v>
      </c>
    </row>
    <row r="451">
      <c r="C451" s="172" t="n"/>
      <c r="D451" s="168" t="inlineStr">
        <is>
          <t>8029928:SAREL APPAREILLAGE ELECTRIQUE - 0.0x447.0x1.0</t>
        </is>
      </c>
      <c r="E451" s="168" t="n">
        <v>0.01</v>
      </c>
      <c r="F451" s="168" t="n">
        <v>0.5</v>
      </c>
      <c r="G451" s="169" t="n">
        <v>7.38</v>
      </c>
    </row>
    <row r="452">
      <c r="C452" s="172" t="n"/>
      <c r="D452" s="168" t="inlineStr">
        <is>
          <t>8029923:SAREL APPAREILLAGE ELECTRIQUE - 0.0x1239.0x1.15</t>
        </is>
      </c>
      <c r="E452" s="168" t="n">
        <v>0.02</v>
      </c>
      <c r="F452" s="168" t="n">
        <v>1.8</v>
      </c>
      <c r="G452" s="169" t="n">
        <v>12.21</v>
      </c>
    </row>
    <row r="453">
      <c r="C453" s="172" t="n"/>
      <c r="D453" s="168" t="inlineStr">
        <is>
          <t>8022128:NPL SASU - 0.0x227.0x1.0</t>
        </is>
      </c>
      <c r="E453" s="168" t="n">
        <v>0.15</v>
      </c>
      <c r="F453" s="168" t="n">
        <v>16</v>
      </c>
      <c r="G453" s="169" t="n">
        <v>14.58</v>
      </c>
    </row>
    <row r="454">
      <c r="C454" s="172" t="n"/>
      <c r="D454" s="168" t="inlineStr">
        <is>
          <t>8029894:SAREL APPAREILLAGE ELECTRIQUE - 0.0x338.0x1.2</t>
        </is>
      </c>
      <c r="E454" s="168" t="n">
        <v>0</v>
      </c>
      <c r="F454" s="168" t="n">
        <v>0.36</v>
      </c>
      <c r="G454" s="169" t="n">
        <v>11.67</v>
      </c>
    </row>
    <row r="455">
      <c r="C455" s="172" t="n"/>
      <c r="D455" s="168" t="inlineStr">
        <is>
          <t>8029926:SAREL APPAREILLAGE ELECTRIQUE - 0.0x740.0x1.0</t>
        </is>
      </c>
      <c r="E455" s="168" t="n">
        <v>0</v>
      </c>
      <c r="F455" s="168" t="n">
        <v>0.8</v>
      </c>
      <c r="G455" s="169" t="n">
        <v>25.21</v>
      </c>
    </row>
    <row r="456">
      <c r="C456" s="172" t="n"/>
      <c r="D456" s="166" t="inlineStr">
        <is>
          <t>8029927:SAREL APPAREILLAGE ELECTRIQUE - 0.0x347.0x1.0</t>
        </is>
      </c>
      <c r="E456" s="166" t="n">
        <v>0</v>
      </c>
      <c r="F456" s="166" t="n">
        <v>0.32</v>
      </c>
      <c r="G456" s="167" t="n">
        <v>17.4</v>
      </c>
    </row>
    <row r="457">
      <c r="C457" s="172" t="n"/>
      <c r="D457" s="168" t="inlineStr">
        <is>
          <t>8088383:RENAULT S.A.S - 0.0x650.0x2.0</t>
        </is>
      </c>
      <c r="E457" s="168" t="n">
        <v>0.04</v>
      </c>
      <c r="F457" s="168" t="n">
        <v>6.5</v>
      </c>
      <c r="G457" s="169" t="n">
        <v>22.59</v>
      </c>
    </row>
    <row r="458">
      <c r="C458" s="173" t="n"/>
      <c r="D458" s="174" t="inlineStr">
        <is>
          <t>8116441:PAULSTRA - 0.0x92.0x0.6</t>
        </is>
      </c>
      <c r="E458" s="174" t="n">
        <v>0.01</v>
      </c>
      <c r="F458" s="174" t="n">
        <v>0.723</v>
      </c>
      <c r="G458" s="175" t="n">
        <v>11.24</v>
      </c>
    </row>
    <row r="462">
      <c r="C462" s="162" t="inlineStr">
        <is>
          <t xml:space="preserve">Details for : R1 serie - Postes Forecast W18 </t>
        </is>
      </c>
      <c r="D462" s="163" t="inlineStr">
        <is>
          <t>Article : Client - Length x Width x Thickness</t>
        </is>
      </c>
      <c r="E462" s="163" t="inlineStr">
        <is>
          <t>Postes</t>
        </is>
      </c>
      <c r="F462" s="163" t="inlineStr">
        <is>
          <t>Tonnes</t>
        </is>
      </c>
      <c r="G462" s="164" t="inlineStr">
        <is>
          <t>Productivity</t>
        </is>
      </c>
    </row>
    <row r="463">
      <c r="C463" s="165" t="inlineStr">
        <is>
          <t>Sum Tonnes : 457.26</t>
        </is>
      </c>
      <c r="D463" s="168" t="inlineStr">
        <is>
          <t>8040795:SIMPSON STRONG-TIE SAS - 0.0x165.0x1.5</t>
        </is>
      </c>
      <c r="E463" s="168" t="n">
        <v>0.03</v>
      </c>
      <c r="F463" s="168" t="n">
        <v>4</v>
      </c>
      <c r="G463" s="169" t="n">
        <v>17.02</v>
      </c>
    </row>
    <row r="464">
      <c r="C464" s="165" t="inlineStr">
        <is>
          <t>Sum Postes : 3.28</t>
        </is>
      </c>
      <c r="D464" s="168" t="inlineStr">
        <is>
          <t>8042387:SIMPSON STRONG-TIE SAS - 0.0x500.0x1.5</t>
        </is>
      </c>
      <c r="E464" s="168" t="n">
        <v>0.03</v>
      </c>
      <c r="F464" s="168" t="n">
        <v>4</v>
      </c>
      <c r="G464" s="169" t="n">
        <v>17.02</v>
      </c>
    </row>
    <row r="465">
      <c r="C465" s="165" t="inlineStr">
        <is>
          <t>Average Productivity : 18.59</t>
        </is>
      </c>
      <c r="D465" s="168" t="inlineStr">
        <is>
          <t>8040822:SIMPSON STRONG-TIE SAS - 0.0x180.0x2.5</t>
        </is>
      </c>
      <c r="E465" s="168" t="n">
        <v>0.02</v>
      </c>
      <c r="F465" s="168" t="n">
        <v>4.4</v>
      </c>
      <c r="G465" s="169" t="n">
        <v>25.92</v>
      </c>
    </row>
    <row r="466">
      <c r="C466" s="172" t="n"/>
      <c r="D466" s="168" t="inlineStr">
        <is>
          <t>8040797:SIMPSON STRONG-TIE SAS - 0.0x195.0x2.5</t>
        </is>
      </c>
      <c r="E466" s="168" t="n">
        <v>0.03</v>
      </c>
      <c r="F466" s="168" t="n">
        <v>3.2</v>
      </c>
      <c r="G466" s="169" t="n">
        <v>17.02</v>
      </c>
    </row>
    <row r="467">
      <c r="C467" s="172" t="n"/>
      <c r="D467" s="168" t="inlineStr">
        <is>
          <t>8039802:SIMPSON STRONG-TIE SAS - 0.0x220.0x2.5</t>
        </is>
      </c>
      <c r="E467" s="168" t="n">
        <v>0.02</v>
      </c>
      <c r="F467" s="168" t="n">
        <v>2</v>
      </c>
      <c r="G467" s="169" t="n">
        <v>14.36</v>
      </c>
    </row>
    <row r="468">
      <c r="C468" s="172" t="n"/>
      <c r="D468" s="168" t="inlineStr">
        <is>
          <t>8040823:SIMPSON STRONG-TIE SAS - 0.0x240.0x2.5</t>
        </is>
      </c>
      <c r="E468" s="168" t="n">
        <v>0.02</v>
      </c>
      <c r="F468" s="168" t="n">
        <v>2.304</v>
      </c>
      <c r="G468" s="169" t="n">
        <v>18.93</v>
      </c>
    </row>
    <row r="469">
      <c r="C469" s="172" t="n"/>
      <c r="D469" s="168" t="inlineStr">
        <is>
          <t>8049859:SIMPSON STRONG-TIE SAS - 0.0x500.0x2.5</t>
        </is>
      </c>
      <c r="E469" s="168" t="n">
        <v>0.03</v>
      </c>
      <c r="F469" s="168" t="n">
        <v>4</v>
      </c>
      <c r="G469" s="169" t="n">
        <v>17.02</v>
      </c>
    </row>
    <row r="470">
      <c r="C470" s="172" t="n"/>
      <c r="D470" s="168" t="inlineStr">
        <is>
          <t>8040824:SIMPSON STRONG-TIE SAS - 0.0x600.0x2.5</t>
        </is>
      </c>
      <c r="E470" s="168" t="n">
        <v>0.08</v>
      </c>
      <c r="F470" s="168" t="n">
        <v>4</v>
      </c>
      <c r="G470" s="169" t="n">
        <v>6.91</v>
      </c>
    </row>
    <row r="471">
      <c r="C471" s="172" t="n"/>
      <c r="D471" s="168" t="inlineStr">
        <is>
          <t>8042388:SIMPSON STRONG-TIE SAS - 0.0x275.0x3.0</t>
        </is>
      </c>
      <c r="E471" s="168" t="n">
        <v>0.01</v>
      </c>
      <c r="F471" s="168" t="n">
        <v>2.5</v>
      </c>
      <c r="G471" s="169" t="n">
        <v>28.62</v>
      </c>
    </row>
    <row r="472">
      <c r="C472" s="172" t="n"/>
      <c r="D472" s="168" t="inlineStr">
        <is>
          <t>8046562:SIMPSON STRONG-TIE SAS - 0.0x133.0x3.0</t>
        </is>
      </c>
      <c r="E472" s="168" t="n">
        <v>0.03</v>
      </c>
      <c r="F472" s="168" t="n">
        <v>3.5</v>
      </c>
      <c r="G472" s="169" t="n">
        <v>18.52</v>
      </c>
    </row>
    <row r="473">
      <c r="C473" s="172" t="n"/>
      <c r="D473" s="168" t="inlineStr">
        <is>
          <t>8033497:SIMPSON STRONG-TIE SAS - 0.0x260.0x1.5</t>
        </is>
      </c>
      <c r="E473" s="168" t="n">
        <v>0.02</v>
      </c>
      <c r="F473" s="168" t="n">
        <v>2.5</v>
      </c>
      <c r="G473" s="169" t="n">
        <v>18.66</v>
      </c>
    </row>
    <row r="474">
      <c r="C474" s="172" t="n"/>
      <c r="D474" s="168" t="inlineStr">
        <is>
          <t>8040826:SIMPSON STRONG-TIE SAS - 0.0x120.0x2.5</t>
        </is>
      </c>
      <c r="E474" s="168" t="n">
        <v>0.11</v>
      </c>
      <c r="F474" s="168" t="n">
        <v>16.8</v>
      </c>
      <c r="G474" s="169" t="n">
        <v>21.25</v>
      </c>
    </row>
    <row r="475">
      <c r="C475" s="172" t="n"/>
      <c r="D475" s="168" t="inlineStr">
        <is>
          <t>8042389:SIMPSON STRONG-TIE SAS - 0.0x130.0x2.5</t>
        </is>
      </c>
      <c r="E475" s="168" t="n">
        <v>0.01</v>
      </c>
      <c r="F475" s="168" t="n">
        <v>1.5</v>
      </c>
      <c r="G475" s="169" t="n">
        <v>17.02</v>
      </c>
    </row>
    <row r="476">
      <c r="C476" s="172" t="n"/>
      <c r="D476" s="168" t="inlineStr">
        <is>
          <t>8040825:SIMPSON STRONG-TIE SAS - 0.0x160.0x2.5</t>
        </is>
      </c>
      <c r="E476" s="168" t="n">
        <v>0.02</v>
      </c>
      <c r="F476" s="168" t="n">
        <v>2.6</v>
      </c>
      <c r="G476" s="169" t="n">
        <v>14.52</v>
      </c>
    </row>
    <row r="477">
      <c r="C477" s="172" t="n"/>
      <c r="D477" s="168" t="inlineStr">
        <is>
          <t>8040825:SIMPSON STRONG-TIE SAS - 0.0x160.0x2.5</t>
        </is>
      </c>
      <c r="E477" s="168" t="n">
        <v>0.06</v>
      </c>
      <c r="F477" s="168" t="n">
        <v>6.4</v>
      </c>
      <c r="G477" s="169" t="n">
        <v>14.52</v>
      </c>
    </row>
    <row r="478">
      <c r="C478" s="172" t="n"/>
      <c r="D478" s="168" t="inlineStr">
        <is>
          <t>8040825:SIMPSON STRONG-TIE SAS - 0.0x160.0x2.5</t>
        </is>
      </c>
      <c r="E478" s="168" t="n">
        <v>0.1</v>
      </c>
      <c r="F478" s="168" t="n">
        <v>11</v>
      </c>
      <c r="G478" s="169" t="n">
        <v>14.52</v>
      </c>
    </row>
    <row r="479">
      <c r="C479" s="172" t="n"/>
      <c r="D479" s="168" t="inlineStr">
        <is>
          <t>8033158:SIMPSON STRONG-TIE SAS - 0.0x171.0x2.5</t>
        </is>
      </c>
      <c r="E479" s="168" t="n">
        <v>0.07000000000000001</v>
      </c>
      <c r="F479" s="168" t="n">
        <v>9.1</v>
      </c>
      <c r="G479" s="169" t="n">
        <v>17.65</v>
      </c>
    </row>
    <row r="480">
      <c r="C480" s="172" t="n"/>
      <c r="D480" s="168" t="inlineStr">
        <is>
          <t>8033596:SIMPSON STRONG-TIE SAS - 0.0x300.0x2.5</t>
        </is>
      </c>
      <c r="E480" s="168" t="n">
        <v>0.03</v>
      </c>
      <c r="F480" s="168" t="n">
        <v>3</v>
      </c>
      <c r="G480" s="169" t="n">
        <v>12.67</v>
      </c>
    </row>
    <row r="481">
      <c r="C481" s="172" t="n"/>
      <c r="D481" s="168" t="inlineStr">
        <is>
          <t>8029019:PLACOPLATRE SA - 0.0x92.0x0.59</t>
        </is>
      </c>
      <c r="E481" s="168" t="n">
        <v>0.46</v>
      </c>
      <c r="F481" s="168" t="n">
        <v>56</v>
      </c>
      <c r="G481" s="169" t="n">
        <v>16.3</v>
      </c>
    </row>
    <row r="482">
      <c r="C482" s="172" t="n"/>
      <c r="D482" s="168" t="inlineStr">
        <is>
          <t>8011976:MAGNA LORRAINE - 0.0x705.0x3.5</t>
        </is>
      </c>
      <c r="E482" s="168" t="n">
        <v>0.07000000000000001</v>
      </c>
      <c r="F482" s="168" t="n">
        <v>12</v>
      </c>
      <c r="G482" s="169" t="n">
        <v>21.6</v>
      </c>
    </row>
    <row r="483">
      <c r="C483" s="172" t="n"/>
      <c r="D483" s="168" t="inlineStr">
        <is>
          <t>8013898:GESTAMP NOURY S.A. - 0.0x289.3x1.5</t>
        </is>
      </c>
      <c r="E483" s="168" t="n">
        <v>0.1</v>
      </c>
      <c r="F483" s="168" t="n">
        <v>15</v>
      </c>
      <c r="G483" s="169" t="n">
        <v>19.51</v>
      </c>
    </row>
    <row r="484">
      <c r="C484" s="172" t="n"/>
      <c r="D484" s="168" t="inlineStr">
        <is>
          <t>8017856:MA POLSKA - 0.0x293.5x0.95</t>
        </is>
      </c>
      <c r="E484" s="168" t="n">
        <v>0.17</v>
      </c>
      <c r="F484" s="168" t="n">
        <v>25</v>
      </c>
      <c r="G484" s="169" t="n">
        <v>19.06</v>
      </c>
    </row>
    <row r="485">
      <c r="C485" s="172" t="n"/>
      <c r="D485" s="168" t="inlineStr">
        <is>
          <t>8027664:SNOP VILLEPINTE - 0.0x212.8x1.15</t>
        </is>
      </c>
      <c r="E485" s="168" t="n">
        <v>0.15</v>
      </c>
      <c r="F485" s="168" t="n">
        <v>28.8</v>
      </c>
      <c r="G485" s="169" t="n">
        <v>26.4</v>
      </c>
    </row>
    <row r="486">
      <c r="C486" s="172" t="n"/>
      <c r="D486" s="168" t="inlineStr">
        <is>
          <t>8027662:SNOP VILLEPINTE - 0.0x101.5x1.05</t>
        </is>
      </c>
      <c r="E486" s="168" t="n">
        <v>0.12</v>
      </c>
      <c r="F486" s="168" t="n">
        <v>17</v>
      </c>
      <c r="G486" s="169" t="n">
        <v>18.23</v>
      </c>
    </row>
    <row r="487">
      <c r="C487" s="172" t="n"/>
      <c r="D487" s="168" t="inlineStr">
        <is>
          <t>8027928:MA SRL - 0.0x320.0x1.4</t>
        </is>
      </c>
      <c r="E487" s="168" t="n">
        <v>0.34</v>
      </c>
      <c r="F487" s="168" t="n">
        <v>50</v>
      </c>
      <c r="G487" s="169" t="n">
        <v>19.66</v>
      </c>
    </row>
    <row r="488">
      <c r="C488" s="172" t="n"/>
      <c r="D488" s="170" t="inlineStr">
        <is>
          <t>8061680:SNOP VILLEPINTE - 0.0x298.8x1.05</t>
        </is>
      </c>
      <c r="E488" s="170" t="n">
        <v>0.33</v>
      </c>
      <c r="F488" s="170" t="n">
        <v>60.2</v>
      </c>
      <c r="G488" s="171" t="n">
        <v>24.07</v>
      </c>
    </row>
    <row r="489">
      <c r="C489" s="172" t="n"/>
      <c r="D489" s="168" t="inlineStr">
        <is>
          <t>8061732:SNOP VILLEPINTE - 0.0x302.3x1.2</t>
        </is>
      </c>
      <c r="E489" s="168" t="n">
        <v>0.11</v>
      </c>
      <c r="F489" s="168" t="n">
        <v>21</v>
      </c>
      <c r="G489" s="169" t="n">
        <v>24.78</v>
      </c>
    </row>
    <row r="490">
      <c r="C490" s="172" t="n"/>
      <c r="D490" s="168" t="inlineStr">
        <is>
          <t>8067995:RENAULT SAS - 0.0x432.0x5.0</t>
        </is>
      </c>
      <c r="E490" s="168" t="n">
        <v>0.11</v>
      </c>
      <c r="F490" s="168" t="n">
        <v>16</v>
      </c>
      <c r="G490" s="169" t="n">
        <v>19.95</v>
      </c>
    </row>
    <row r="491">
      <c r="C491" s="172" t="n"/>
      <c r="D491" s="168" t="inlineStr">
        <is>
          <t>8067997:RENAULT SAS - 0.0x325.0x5.0</t>
        </is>
      </c>
      <c r="E491" s="168" t="n">
        <v>0.13</v>
      </c>
      <c r="F491" s="168" t="n">
        <v>18</v>
      </c>
      <c r="G491" s="169" t="n">
        <v>18.64</v>
      </c>
    </row>
    <row r="492">
      <c r="C492" s="172" t="n"/>
      <c r="D492" s="168" t="inlineStr">
        <is>
          <t>8029922:SAREL APPAREILLAGE ELECTRIQUE - 0.0x1139.0x1.15</t>
        </is>
      </c>
      <c r="E492" s="168" t="n">
        <v>0.02</v>
      </c>
      <c r="F492" s="168" t="n">
        <v>2</v>
      </c>
      <c r="G492" s="169" t="n">
        <v>13.29</v>
      </c>
    </row>
    <row r="493">
      <c r="C493" s="172" t="n"/>
      <c r="D493" s="168" t="inlineStr">
        <is>
          <t>8029925:SAREL APPAREILLAGE ELECTRIQUE - 0.0x640.0x1.0</t>
        </is>
      </c>
      <c r="E493" s="168" t="n">
        <v>0.01</v>
      </c>
      <c r="F493" s="168" t="n">
        <v>0.9</v>
      </c>
      <c r="G493" s="169" t="n">
        <v>19.52</v>
      </c>
    </row>
    <row r="494">
      <c r="C494" s="172" t="n"/>
      <c r="D494" s="168" t="inlineStr">
        <is>
          <t>8029911:SAREL APPAREILLAGE ELECTRIQUE - 0.0x821.5x1.5</t>
        </is>
      </c>
      <c r="E494" s="168" t="n">
        <v>0.01</v>
      </c>
      <c r="F494" s="168" t="n">
        <v>1.72</v>
      </c>
      <c r="G494" s="169" t="n">
        <v>18.03</v>
      </c>
    </row>
    <row r="495">
      <c r="C495" s="172" t="n"/>
      <c r="D495" s="168" t="inlineStr">
        <is>
          <t>8029912:SAREL APPAREILLAGE ELECTRIQUE - 0.0x1046.0x1.5</t>
        </is>
      </c>
      <c r="E495" s="168" t="n">
        <v>0.02</v>
      </c>
      <c r="F495" s="168" t="n">
        <v>2</v>
      </c>
      <c r="G495" s="169" t="n">
        <v>10.96</v>
      </c>
    </row>
    <row r="496">
      <c r="C496" s="172" t="n"/>
      <c r="D496" s="168" t="inlineStr">
        <is>
          <t>8029910:SAREL APPAREILLAGE ELECTRIQUE - 0.0x621.5x1.5</t>
        </is>
      </c>
      <c r="E496" s="168" t="n">
        <v>0.04</v>
      </c>
      <c r="F496" s="168" t="n">
        <v>1.92</v>
      </c>
      <c r="G496" s="169" t="n">
        <v>6.89</v>
      </c>
    </row>
    <row r="497">
      <c r="C497" s="172" t="n"/>
      <c r="D497" s="168" t="inlineStr">
        <is>
          <t>8029913:SAREL APPAREILLAGE ELECTRIQUE - 0.0x1246.0x1.5</t>
        </is>
      </c>
      <c r="E497" s="168" t="n">
        <v>0.01</v>
      </c>
      <c r="F497" s="168" t="n">
        <v>0.9</v>
      </c>
      <c r="G497" s="169" t="n">
        <v>12.13</v>
      </c>
    </row>
    <row r="498">
      <c r="C498" s="172" t="n"/>
      <c r="D498" s="168" t="inlineStr">
        <is>
          <t>8029920:SAREL APPAREILLAGE ELECTRIQUE - 0.0x589.0x1.8</t>
        </is>
      </c>
      <c r="E498" s="168" t="n">
        <v>0.02</v>
      </c>
      <c r="F498" s="168" t="n">
        <v>2.1</v>
      </c>
      <c r="G498" s="169" t="n">
        <v>16.39</v>
      </c>
    </row>
    <row r="499">
      <c r="C499" s="172" t="n"/>
      <c r="D499" s="168" t="inlineStr">
        <is>
          <t>8029921:SAREL APPAREILLAGE ELECTRIQUE - 0.0x840.0x1.0</t>
        </is>
      </c>
      <c r="E499" s="168" t="n">
        <v>0.02</v>
      </c>
      <c r="F499" s="168" t="n">
        <v>1.8</v>
      </c>
      <c r="G499" s="169" t="n">
        <v>13.6</v>
      </c>
    </row>
    <row r="500">
      <c r="C500" s="172" t="n"/>
      <c r="D500" s="168" t="inlineStr">
        <is>
          <t>8029907:SAREL APPAREILLAGE ELECTRIQUE - 0.0x1021.5x1.5</t>
        </is>
      </c>
      <c r="E500" s="168" t="n">
        <v>0.03</v>
      </c>
      <c r="F500" s="168" t="n">
        <v>2.64</v>
      </c>
      <c r="G500" s="169" t="n">
        <v>11.47</v>
      </c>
    </row>
    <row r="501">
      <c r="C501" s="172" t="n"/>
      <c r="D501" s="168" t="inlineStr">
        <is>
          <t>8029930:SAREL APPAREILLAGE ELECTRIQUE - 0.0x1040.0x1.0</t>
        </is>
      </c>
      <c r="E501" s="168" t="n">
        <v>0.02</v>
      </c>
      <c r="F501" s="168" t="n">
        <v>2</v>
      </c>
      <c r="G501" s="169" t="n">
        <v>12.72</v>
      </c>
    </row>
    <row r="502">
      <c r="C502" s="172" t="n"/>
      <c r="D502" s="168" t="inlineStr">
        <is>
          <t>8029893:SAREL APPAREILLAGE ELECTRIQUE - 0.0x940.0x1.0</t>
        </is>
      </c>
      <c r="E502" s="168" t="n">
        <v>0.04</v>
      </c>
      <c r="F502" s="168" t="n">
        <v>3.2</v>
      </c>
      <c r="G502" s="169" t="n">
        <v>11.75</v>
      </c>
    </row>
    <row r="503">
      <c r="C503" s="172" t="n"/>
      <c r="D503" s="168" t="inlineStr">
        <is>
          <t>8029896:SAREL APPAREILLAGE ELECTRIQUE - 0.0x438.0x1.2</t>
        </is>
      </c>
      <c r="E503" s="168" t="n">
        <v>0.02</v>
      </c>
      <c r="F503" s="168" t="n">
        <v>1.5</v>
      </c>
      <c r="G503" s="169" t="n">
        <v>12.86</v>
      </c>
    </row>
    <row r="504">
      <c r="C504" s="172" t="n"/>
      <c r="D504" s="168" t="inlineStr">
        <is>
          <t>8029895:SAREL APPAREILLAGE ELECTRIQUE - 0.0x846.0x1.5</t>
        </is>
      </c>
      <c r="E504" s="168" t="n">
        <v>0.01</v>
      </c>
      <c r="F504" s="168" t="n">
        <v>1</v>
      </c>
      <c r="G504" s="169" t="n">
        <v>17.32</v>
      </c>
    </row>
    <row r="505">
      <c r="C505" s="172" t="n"/>
      <c r="D505" s="168" t="inlineStr">
        <is>
          <t>8029924:SAREL APPAREILLAGE ELECTRIQUE - 0.0x1039.0x1.15</t>
        </is>
      </c>
      <c r="E505" s="168" t="n">
        <v>0.02</v>
      </c>
      <c r="F505" s="168" t="n">
        <v>2</v>
      </c>
      <c r="G505" s="169" t="n">
        <v>16.02</v>
      </c>
    </row>
    <row r="506">
      <c r="C506" s="172" t="n"/>
      <c r="D506" s="168" t="inlineStr">
        <is>
          <t>8029928:SAREL APPAREILLAGE ELECTRIQUE - 0.0x447.0x1.0</t>
        </is>
      </c>
      <c r="E506" s="168" t="n">
        <v>0.01</v>
      </c>
      <c r="F506" s="168" t="n">
        <v>0.5</v>
      </c>
      <c r="G506" s="169" t="n">
        <v>7.38</v>
      </c>
    </row>
    <row r="507">
      <c r="C507" s="172" t="n"/>
      <c r="D507" s="168" t="inlineStr">
        <is>
          <t>8029923:SAREL APPAREILLAGE ELECTRIQUE - 0.0x1239.0x1.15</t>
        </is>
      </c>
      <c r="E507" s="168" t="n">
        <v>0.02</v>
      </c>
      <c r="F507" s="168" t="n">
        <v>1.8</v>
      </c>
      <c r="G507" s="169" t="n">
        <v>12.21</v>
      </c>
    </row>
    <row r="508">
      <c r="C508" s="172" t="n"/>
      <c r="D508" s="168" t="inlineStr">
        <is>
          <t>8029894:SAREL APPAREILLAGE ELECTRIQUE - 0.0x338.0x1.2</t>
        </is>
      </c>
      <c r="E508" s="168" t="n">
        <v>0</v>
      </c>
      <c r="F508" s="168" t="n">
        <v>0.36</v>
      </c>
      <c r="G508" s="169" t="n">
        <v>11.67</v>
      </c>
    </row>
    <row r="509">
      <c r="C509" s="172" t="n"/>
      <c r="D509" s="168" t="inlineStr">
        <is>
          <t>8029926:SAREL APPAREILLAGE ELECTRIQUE - 0.0x740.0x1.0</t>
        </is>
      </c>
      <c r="E509" s="168" t="n">
        <v>0</v>
      </c>
      <c r="F509" s="168" t="n">
        <v>0.8</v>
      </c>
      <c r="G509" s="169" t="n">
        <v>25.21</v>
      </c>
    </row>
    <row r="510">
      <c r="C510" s="172" t="n"/>
      <c r="D510" s="166" t="inlineStr">
        <is>
          <t>8029927:SAREL APPAREILLAGE ELECTRIQUE - 0.0x347.0x1.0</t>
        </is>
      </c>
      <c r="E510" s="166" t="n">
        <v>0</v>
      </c>
      <c r="F510" s="166" t="n">
        <v>0.32</v>
      </c>
      <c r="G510" s="167" t="n">
        <v>17.4</v>
      </c>
    </row>
    <row r="511">
      <c r="C511" s="172" t="n"/>
      <c r="D511" s="168" t="inlineStr">
        <is>
          <t>8115174:PAULSTRA - 0.0x130.0x0.8</t>
        </is>
      </c>
      <c r="E511" s="168" t="n">
        <v>0.02</v>
      </c>
      <c r="F511" s="168" t="n">
        <v>2</v>
      </c>
      <c r="G511" s="169" t="n">
        <v>17.21</v>
      </c>
    </row>
    <row r="512">
      <c r="C512" s="173" t="n"/>
      <c r="D512" s="174" t="inlineStr">
        <is>
          <t>8115029:WAGON AUTOMOTIVE - 0.0x797.0x0.8</t>
        </is>
      </c>
      <c r="E512" s="174" t="n">
        <v>0.13</v>
      </c>
      <c r="F512" s="174" t="n">
        <v>20</v>
      </c>
      <c r="G512" s="175" t="n">
        <v>20.81</v>
      </c>
    </row>
    <row r="516">
      <c r="C516" s="162" t="inlineStr">
        <is>
          <t xml:space="preserve">Details for : R1 serie - Postes Forecast W19 </t>
        </is>
      </c>
      <c r="D516" s="163" t="inlineStr">
        <is>
          <t>Article : Client - Length x Width x Thickness</t>
        </is>
      </c>
      <c r="E516" s="163" t="inlineStr">
        <is>
          <t>Postes</t>
        </is>
      </c>
      <c r="F516" s="163" t="inlineStr">
        <is>
          <t>Tonnes</t>
        </is>
      </c>
      <c r="G516" s="164" t="inlineStr">
        <is>
          <t>Productivity</t>
        </is>
      </c>
    </row>
    <row r="517">
      <c r="C517" s="165" t="inlineStr">
        <is>
          <t>Sum Tonnes : 807.92</t>
        </is>
      </c>
      <c r="D517" s="168" t="inlineStr">
        <is>
          <t>8056251:LEBRAUT RICHARD DECOUPAGE SAS - 0.0x337.0x1.5</t>
        </is>
      </c>
      <c r="E517" s="168" t="n">
        <v>0.21</v>
      </c>
      <c r="F517" s="168" t="n">
        <v>25</v>
      </c>
      <c r="G517" s="169" t="n">
        <v>15.79</v>
      </c>
    </row>
    <row r="518">
      <c r="C518" s="165" t="inlineStr">
        <is>
          <t>Sum Postes : 6.51</t>
        </is>
      </c>
      <c r="D518" s="168" t="inlineStr">
        <is>
          <t>8057147:MECA PRECIS - 0.0x134.0x3.0</t>
        </is>
      </c>
      <c r="E518" s="168" t="n">
        <v>0.11</v>
      </c>
      <c r="F518" s="168" t="n">
        <v>5</v>
      </c>
      <c r="G518" s="169" t="n">
        <v>6.09</v>
      </c>
    </row>
    <row r="519">
      <c r="C519" s="165" t="inlineStr">
        <is>
          <t>Average Productivity : 16.55</t>
        </is>
      </c>
      <c r="D519" s="168" t="inlineStr">
        <is>
          <t>8033075:SIMPSON STRONG-TIE SAS - 0.0x440.0x1.5</t>
        </is>
      </c>
      <c r="E519" s="168" t="n">
        <v>0.1</v>
      </c>
      <c r="F519" s="168" t="n">
        <v>4</v>
      </c>
      <c r="G519" s="169" t="n">
        <v>5.38</v>
      </c>
    </row>
    <row r="520">
      <c r="C520" s="172" t="n"/>
      <c r="D520" s="168" t="inlineStr">
        <is>
          <t>8033496:SIMPSON STRONG-TIE SAS - 0.0x230.0x1.5</t>
        </is>
      </c>
      <c r="E520" s="168" t="n">
        <v>0.04</v>
      </c>
      <c r="F520" s="168" t="n">
        <v>4</v>
      </c>
      <c r="G520" s="169" t="n">
        <v>14.35</v>
      </c>
    </row>
    <row r="521">
      <c r="C521" s="172" t="n"/>
      <c r="D521" s="168" t="inlineStr">
        <is>
          <t>8029019:PLACOPLATRE SA - 0.0x92.0x0.59</t>
        </is>
      </c>
      <c r="E521" s="168" t="n">
        <v>0.23</v>
      </c>
      <c r="F521" s="168" t="n">
        <v>28</v>
      </c>
      <c r="G521" s="169" t="n">
        <v>16.3</v>
      </c>
    </row>
    <row r="522">
      <c r="C522" s="172" t="n"/>
      <c r="D522" s="168" t="inlineStr">
        <is>
          <t>8029020:PLACOPLATRE SA - 0.0x119.0x0.59</t>
        </is>
      </c>
      <c r="E522" s="168" t="n">
        <v>0.47</v>
      </c>
      <c r="F522" s="168" t="n">
        <v>56</v>
      </c>
      <c r="G522" s="169" t="n">
        <v>15.96</v>
      </c>
    </row>
    <row r="523">
      <c r="C523" s="172" t="n"/>
      <c r="D523" s="168" t="inlineStr">
        <is>
          <t>8013866:MA SRL - 0.0x265.0x0.95</t>
        </is>
      </c>
      <c r="E523" s="168" t="n">
        <v>0.2</v>
      </c>
      <c r="F523" s="168" t="n">
        <v>22</v>
      </c>
      <c r="G523" s="169" t="n">
        <v>14.78</v>
      </c>
    </row>
    <row r="524">
      <c r="C524" s="172" t="n"/>
      <c r="D524" s="168" t="inlineStr">
        <is>
          <t>8012019:STEEL CENTER EUROPE S.R.O. - 0.0x158.0x4.0</t>
        </is>
      </c>
      <c r="E524" s="168" t="n">
        <v>0.35</v>
      </c>
      <c r="F524" s="168" t="n">
        <v>30</v>
      </c>
      <c r="G524" s="169" t="n">
        <v>11.57</v>
      </c>
    </row>
    <row r="525">
      <c r="C525" s="172" t="n"/>
      <c r="D525" s="168" t="inlineStr">
        <is>
          <t>8012047:STEEL CENTER EUROPE S.R.O. - 0.0x218.0x4.0</t>
        </is>
      </c>
      <c r="E525" s="168" t="n">
        <v>0.13</v>
      </c>
      <c r="F525" s="168" t="n">
        <v>15</v>
      </c>
      <c r="G525" s="169" t="n">
        <v>14.84</v>
      </c>
    </row>
    <row r="526">
      <c r="C526" s="172" t="n"/>
      <c r="D526" s="168" t="inlineStr">
        <is>
          <t>8012020:STEEL CENTER EUROPE S.R.O. - 0.0x312.0x4.0</t>
        </is>
      </c>
      <c r="E526" s="168" t="n">
        <v>0.31</v>
      </c>
      <c r="F526" s="168" t="n">
        <v>30</v>
      </c>
      <c r="G526" s="169" t="n">
        <v>12.88</v>
      </c>
    </row>
    <row r="527">
      <c r="C527" s="172" t="n"/>
      <c r="D527" s="168" t="inlineStr">
        <is>
          <t>8012245:VOESTALPINE STAMPTEC France - 0.0x877.0x1.25</t>
        </is>
      </c>
      <c r="E527" s="168" t="n">
        <v>0.05</v>
      </c>
      <c r="F527" s="168" t="n">
        <v>9</v>
      </c>
      <c r="G527" s="169" t="n">
        <v>24.42</v>
      </c>
    </row>
    <row r="528">
      <c r="C528" s="172" t="n"/>
      <c r="D528" s="168" t="inlineStr">
        <is>
          <t>8014488:TRICO BELGIUM SA - 0.0x120.0x1.48</t>
        </is>
      </c>
      <c r="E528" s="168" t="n">
        <v>0.26</v>
      </c>
      <c r="F528" s="168" t="n">
        <v>25</v>
      </c>
      <c r="G528" s="169" t="n">
        <v>13.01</v>
      </c>
    </row>
    <row r="529">
      <c r="C529" s="172" t="n"/>
      <c r="D529" s="168" t="inlineStr">
        <is>
          <t>8017856:MA POLSKA - 0.0x293.5x0.95</t>
        </is>
      </c>
      <c r="E529" s="168" t="n">
        <v>0.35</v>
      </c>
      <c r="F529" s="168" t="n">
        <v>50</v>
      </c>
      <c r="G529" s="169" t="n">
        <v>19.06</v>
      </c>
    </row>
    <row r="530">
      <c r="C530" s="172" t="n"/>
      <c r="D530" s="168" t="inlineStr">
        <is>
          <t>8027664:SNOP VILLEPINTE - 0.0x212.8x1.15</t>
        </is>
      </c>
      <c r="E530" s="168" t="n">
        <v>0.15</v>
      </c>
      <c r="F530" s="168" t="n">
        <v>28.8</v>
      </c>
      <c r="G530" s="169" t="n">
        <v>26.4</v>
      </c>
    </row>
    <row r="531">
      <c r="C531" s="172" t="n"/>
      <c r="D531" s="168" t="inlineStr">
        <is>
          <t>8027662:SNOP VILLEPINTE - 0.0x101.5x1.05</t>
        </is>
      </c>
      <c r="E531" s="168" t="n">
        <v>0.12</v>
      </c>
      <c r="F531" s="168" t="n">
        <v>17</v>
      </c>
      <c r="G531" s="169" t="n">
        <v>18.23</v>
      </c>
    </row>
    <row r="532">
      <c r="C532" s="172" t="n"/>
      <c r="D532" s="168" t="inlineStr">
        <is>
          <t>8027928:MA SRL - 0.0x320.0x1.4</t>
        </is>
      </c>
      <c r="E532" s="168" t="n">
        <v>0.34</v>
      </c>
      <c r="F532" s="168" t="n">
        <v>50</v>
      </c>
      <c r="G532" s="169" t="n">
        <v>19.66</v>
      </c>
    </row>
    <row r="533">
      <c r="C533" s="172" t="n"/>
      <c r="D533" s="168" t="inlineStr">
        <is>
          <t>8008096:GESTAMP NOURY S.A. - 0.0x260.4x1.5</t>
        </is>
      </c>
      <c r="E533" s="168" t="n">
        <v>0.42</v>
      </c>
      <c r="F533" s="168" t="n">
        <v>60</v>
      </c>
      <c r="G533" s="169" t="n">
        <v>19.06</v>
      </c>
    </row>
    <row r="534">
      <c r="C534" s="172" t="n"/>
      <c r="D534" s="168" t="inlineStr">
        <is>
          <t>8050618:MA POLSKA - 0.0x320.0x1.4</t>
        </is>
      </c>
      <c r="E534" s="168" t="n">
        <v>0.28</v>
      </c>
      <c r="F534" s="168" t="n">
        <v>40</v>
      </c>
      <c r="G534" s="169" t="n">
        <v>19.02</v>
      </c>
    </row>
    <row r="535">
      <c r="C535" s="172" t="n"/>
      <c r="D535" s="168" t="inlineStr">
        <is>
          <t>8061680:SNOP VILLEPINTE - 0.0x298.8x1.05</t>
        </is>
      </c>
      <c r="E535" s="168" t="n">
        <v>0.26</v>
      </c>
      <c r="F535" s="168" t="n">
        <v>47.3</v>
      </c>
      <c r="G535" s="169" t="n">
        <v>24.07</v>
      </c>
    </row>
    <row r="536">
      <c r="C536" s="172" t="n"/>
      <c r="D536" s="168" t="inlineStr">
        <is>
          <t>8061732:SNOP VILLEPINTE - 0.0x302.3x1.2</t>
        </is>
      </c>
      <c r="E536" s="168" t="n">
        <v>0.16</v>
      </c>
      <c r="F536" s="168" t="n">
        <v>29.4</v>
      </c>
      <c r="G536" s="169" t="n">
        <v>24.78</v>
      </c>
    </row>
    <row r="537">
      <c r="C537" s="172" t="n"/>
      <c r="D537" s="168" t="inlineStr">
        <is>
          <t>8029922:SAREL APPAREILLAGE ELECTRIQUE - 0.0x1139.0x1.15</t>
        </is>
      </c>
      <c r="E537" s="168" t="n">
        <v>0.03</v>
      </c>
      <c r="F537" s="168" t="n">
        <v>2.5</v>
      </c>
      <c r="G537" s="169" t="n">
        <v>13.29</v>
      </c>
    </row>
    <row r="538">
      <c r="C538" s="172" t="n"/>
      <c r="D538" s="168" t="inlineStr">
        <is>
          <t>8029925:SAREL APPAREILLAGE ELECTRIQUE - 0.0x640.0x1.0</t>
        </is>
      </c>
      <c r="E538" s="168" t="n">
        <v>0.01</v>
      </c>
      <c r="F538" s="168" t="n">
        <v>1.125</v>
      </c>
      <c r="G538" s="169" t="n">
        <v>19.52</v>
      </c>
    </row>
    <row r="539">
      <c r="C539" s="172" t="n"/>
      <c r="D539" s="168" t="inlineStr">
        <is>
          <t>8052108:SAREL APPAREILLAGE ELECTRIQUE - 0.0x150.4x1.2</t>
        </is>
      </c>
      <c r="E539" s="168" t="n">
        <v>0.29</v>
      </c>
      <c r="F539" s="168" t="n">
        <v>44</v>
      </c>
      <c r="G539" s="169" t="n">
        <v>20.37</v>
      </c>
    </row>
    <row r="540">
      <c r="C540" s="172" t="n"/>
      <c r="D540" s="168" t="inlineStr">
        <is>
          <t>8029912:SAREL APPAREILLAGE ELECTRIQUE - 0.0x1046.0x1.5</t>
        </is>
      </c>
      <c r="E540" s="168" t="n">
        <v>0.03</v>
      </c>
      <c r="F540" s="168" t="n">
        <v>2.5</v>
      </c>
      <c r="G540" s="169" t="n">
        <v>10.96</v>
      </c>
    </row>
    <row r="541">
      <c r="C541" s="172" t="n"/>
      <c r="D541" s="168" t="inlineStr">
        <is>
          <t>8029910:SAREL APPAREILLAGE ELECTRIQUE - 0.0x621.5x1.5</t>
        </is>
      </c>
      <c r="E541" s="168" t="n">
        <v>0.03</v>
      </c>
      <c r="F541" s="168" t="n">
        <v>1.6</v>
      </c>
      <c r="G541" s="169" t="n">
        <v>6.89</v>
      </c>
    </row>
    <row r="542">
      <c r="C542" s="172" t="n"/>
      <c r="D542" s="168" t="inlineStr">
        <is>
          <t>8029913:SAREL APPAREILLAGE ELECTRIQUE - 0.0x1246.0x1.5</t>
        </is>
      </c>
      <c r="E542" s="168" t="n">
        <v>0.01</v>
      </c>
      <c r="F542" s="168" t="n">
        <v>1.125</v>
      </c>
      <c r="G542" s="169" t="n">
        <v>12.13</v>
      </c>
    </row>
    <row r="543">
      <c r="C543" s="172" t="n"/>
      <c r="D543" s="168" t="inlineStr">
        <is>
          <t>8040446:SAREL APPAREILLAGE ELECTRIQUE - 0.0x797.0x2.5</t>
        </is>
      </c>
      <c r="E543" s="168" t="n">
        <v>0.51</v>
      </c>
      <c r="F543" s="168" t="n">
        <v>36</v>
      </c>
      <c r="G543" s="169" t="n">
        <v>9.369999999999999</v>
      </c>
    </row>
    <row r="544">
      <c r="C544" s="172" t="n"/>
      <c r="D544" s="170" t="inlineStr">
        <is>
          <t>8052106:SAREL APPAREILLAGE ELECTRIQUE - 0.0x225.9x1.5</t>
        </is>
      </c>
      <c r="E544" s="170" t="n">
        <v>0.74</v>
      </c>
      <c r="F544" s="170" t="n">
        <v>110</v>
      </c>
      <c r="G544" s="171" t="n">
        <v>19.9</v>
      </c>
    </row>
    <row r="545">
      <c r="C545" s="172" t="n"/>
      <c r="D545" s="168" t="inlineStr">
        <is>
          <t>8029921:SAREL APPAREILLAGE ELECTRIQUE - 0.0x840.0x1.0</t>
        </is>
      </c>
      <c r="E545" s="168" t="n">
        <v>0.02</v>
      </c>
      <c r="F545" s="168" t="n">
        <v>2.25</v>
      </c>
      <c r="G545" s="169" t="n">
        <v>13.6</v>
      </c>
    </row>
    <row r="546">
      <c r="C546" s="172" t="n"/>
      <c r="D546" s="168" t="inlineStr">
        <is>
          <t>8029907:SAREL APPAREILLAGE ELECTRIQUE - 0.0x1021.5x1.5</t>
        </is>
      </c>
      <c r="E546" s="168" t="n">
        <v>0.04</v>
      </c>
      <c r="F546" s="168" t="n">
        <v>3.3</v>
      </c>
      <c r="G546" s="169" t="n">
        <v>11.47</v>
      </c>
    </row>
    <row r="547">
      <c r="C547" s="172" t="n"/>
      <c r="D547" s="168" t="inlineStr">
        <is>
          <t>8029930:SAREL APPAREILLAGE ELECTRIQUE - 0.0x1040.0x1.0</t>
        </is>
      </c>
      <c r="E547" s="168" t="n">
        <v>0.01</v>
      </c>
      <c r="F547" s="168" t="n">
        <v>1.25</v>
      </c>
      <c r="G547" s="169" t="n">
        <v>12.72</v>
      </c>
    </row>
    <row r="548">
      <c r="C548" s="172" t="n"/>
      <c r="D548" s="168" t="inlineStr">
        <is>
          <t>8029928:SAREL APPAREILLAGE ELECTRIQUE - 0.0x447.0x1.0</t>
        </is>
      </c>
      <c r="E548" s="168" t="n">
        <v>0.01</v>
      </c>
      <c r="F548" s="168" t="n">
        <v>0.625</v>
      </c>
      <c r="G548" s="169" t="n">
        <v>7.38</v>
      </c>
    </row>
    <row r="549">
      <c r="C549" s="172" t="n"/>
      <c r="D549" s="168" t="inlineStr">
        <is>
          <t>8029923:SAREL APPAREILLAGE ELECTRIQUE - 0.0x1239.0x1.15</t>
        </is>
      </c>
      <c r="E549" s="168" t="n">
        <v>0.02</v>
      </c>
      <c r="F549" s="168" t="n">
        <v>2.25</v>
      </c>
      <c r="G549" s="169" t="n">
        <v>12.21</v>
      </c>
    </row>
    <row r="550">
      <c r="C550" s="172" t="n"/>
      <c r="D550" s="168" t="inlineStr">
        <is>
          <t>8029898:SAREL APPAREILLAGE ELECTRIQUE - 0.0x638.0x1.2</t>
        </is>
      </c>
      <c r="E550" s="168" t="n">
        <v>0.03</v>
      </c>
      <c r="F550" s="168" t="n">
        <v>2.5</v>
      </c>
      <c r="G550" s="169" t="n">
        <v>11.73</v>
      </c>
    </row>
    <row r="551">
      <c r="C551" s="172" t="n"/>
      <c r="D551" s="166" t="inlineStr">
        <is>
          <t>8029927:SAREL APPAREILLAGE ELECTRIQUE - 0.0x347.0x1.0</t>
        </is>
      </c>
      <c r="E551" s="166" t="n">
        <v>0</v>
      </c>
      <c r="F551" s="166" t="n">
        <v>0.4</v>
      </c>
      <c r="G551" s="167" t="n">
        <v>17.4</v>
      </c>
    </row>
    <row r="552">
      <c r="C552" s="172" t="n"/>
      <c r="D552" s="168" t="inlineStr">
        <is>
          <t>8088383:RENAULT S.A.S - 0.0x650.0x2.0</t>
        </is>
      </c>
      <c r="E552" s="168" t="n">
        <v>0.04</v>
      </c>
      <c r="F552" s="168" t="n">
        <v>6.5</v>
      </c>
      <c r="G552" s="169" t="n">
        <v>22.59</v>
      </c>
    </row>
    <row r="553">
      <c r="C553" s="172" t="n"/>
      <c r="D553" s="168" t="inlineStr">
        <is>
          <t>8106440:MAGNA LORRAINE - 0.0x590.0x0.6</t>
        </is>
      </c>
      <c r="E553" s="168" t="n">
        <v>0.03</v>
      </c>
      <c r="F553" s="168" t="n">
        <v>3</v>
      </c>
      <c r="G553" s="169" t="n">
        <v>14.02</v>
      </c>
    </row>
    <row r="554">
      <c r="C554" s="172" t="n"/>
      <c r="D554" s="168" t="inlineStr">
        <is>
          <t>8113940:PAULSTRA - 0.0x121.0x1.0</t>
        </is>
      </c>
      <c r="E554" s="168" t="n">
        <v>0.05</v>
      </c>
      <c r="F554" s="168" t="n">
        <v>2.5</v>
      </c>
      <c r="G554" s="169" t="n">
        <v>7.21</v>
      </c>
    </row>
    <row r="555">
      <c r="C555" s="173" t="n"/>
      <c r="D555" s="174" t="inlineStr">
        <is>
          <t>8115174:PAULSTRA - 0.0x130.0x0.8</t>
        </is>
      </c>
      <c r="E555" s="174" t="n">
        <v>0.07000000000000001</v>
      </c>
      <c r="F555" s="174" t="n">
        <v>9</v>
      </c>
      <c r="G555" s="175" t="n">
        <v>17.21</v>
      </c>
    </row>
    <row r="559">
      <c r="C559" s="162" t="inlineStr">
        <is>
          <t>Details for : R1 proto - Postes Backlog</t>
        </is>
      </c>
      <c r="D559" s="163" t="inlineStr">
        <is>
          <t>Article : Client - Length x Width x Thickness</t>
        </is>
      </c>
      <c r="E559" s="163" t="inlineStr">
        <is>
          <t>Postes</t>
        </is>
      </c>
      <c r="F559" s="163" t="inlineStr">
        <is>
          <t>Tonnes</t>
        </is>
      </c>
      <c r="G559" s="164" t="inlineStr">
        <is>
          <t>Productivity</t>
        </is>
      </c>
    </row>
    <row r="560">
      <c r="C560" s="165" t="inlineStr">
        <is>
          <t>Sum Tonnes : 224.76</t>
        </is>
      </c>
      <c r="D560" s="166" t="inlineStr">
        <is>
          <t>8110531:ARCELORMITTAL PROTO FLORANGE - 0.0x1273.0x0.73</t>
        </is>
      </c>
      <c r="E560" s="166" t="n">
        <v>0.02</v>
      </c>
      <c r="F560" s="166" t="n">
        <v>0.74</v>
      </c>
      <c r="G560" s="167" t="n">
        <v>5.74</v>
      </c>
    </row>
    <row r="561">
      <c r="C561" s="165" t="inlineStr">
        <is>
          <t>Sum Postes : 8.83</t>
        </is>
      </c>
      <c r="D561" s="168" t="inlineStr">
        <is>
          <t>8114822:ARCELORMITTAL PROTO FLORANGE - 0.0x1192.0x5.0</t>
        </is>
      </c>
      <c r="E561" s="168" t="n">
        <v>0.61</v>
      </c>
      <c r="F561" s="168" t="n">
        <v>9</v>
      </c>
      <c r="G561" s="169" t="n">
        <v>1.97</v>
      </c>
    </row>
    <row r="562">
      <c r="C562" s="165" t="inlineStr">
        <is>
          <t>Average Productivity : 3.39</t>
        </is>
      </c>
      <c r="D562" s="168" t="inlineStr">
        <is>
          <t>8115182:ARCELORMITTAL PROTO FLORANGE - 0.0x487.0x4.5</t>
        </is>
      </c>
      <c r="E562" s="168" t="n">
        <v>0.88</v>
      </c>
      <c r="F562" s="168" t="n">
        <v>22</v>
      </c>
      <c r="G562" s="169" t="n">
        <v>3.33</v>
      </c>
    </row>
    <row r="563">
      <c r="C563" s="172" t="n"/>
      <c r="D563" s="168" t="inlineStr">
        <is>
          <t>8115183:ARCELORMITTAL PROTO FLORANGE - 0.0x1215.0x3.6</t>
        </is>
      </c>
      <c r="E563" s="168" t="n">
        <v>2.4</v>
      </c>
      <c r="F563" s="168" t="n">
        <v>60</v>
      </c>
      <c r="G563" s="169" t="n">
        <v>3.33</v>
      </c>
    </row>
    <row r="564">
      <c r="C564" s="172" t="n"/>
      <c r="D564" s="168" t="inlineStr">
        <is>
          <t>8115184:ARCELORMITTAL PROTO FLORANGE - 0.0x411.0x6.0</t>
        </is>
      </c>
      <c r="E564" s="168" t="n">
        <v>1.2</v>
      </c>
      <c r="F564" s="168" t="n">
        <v>30</v>
      </c>
      <c r="G564" s="169" t="n">
        <v>3.33</v>
      </c>
    </row>
    <row r="565">
      <c r="C565" s="172" t="n"/>
      <c r="D565" s="170" t="inlineStr">
        <is>
          <t>8116385:ARCELORMITTAL PROTO FLORANGE - 0.0x1192.0x5.8</t>
        </is>
      </c>
      <c r="E565" s="170" t="n">
        <v>3.08</v>
      </c>
      <c r="F565" s="170" t="n">
        <v>77</v>
      </c>
      <c r="G565" s="171" t="n">
        <v>3.33</v>
      </c>
    </row>
    <row r="566">
      <c r="C566" s="172" t="n"/>
      <c r="D566" s="168" t="inlineStr">
        <is>
          <t>8117450:ARCELORMITTAL PROTO FLORANGE - 0.0x388.0x2.6</t>
        </is>
      </c>
      <c r="E566" s="168" t="n">
        <v>0.13</v>
      </c>
      <c r="F566" s="168" t="n">
        <v>6.896</v>
      </c>
      <c r="G566" s="169" t="n">
        <v>6.89</v>
      </c>
    </row>
    <row r="567">
      <c r="C567" s="172" t="n"/>
      <c r="D567" s="168" t="inlineStr">
        <is>
          <t>8116414:ARCELORMITTAL PROTO FLORANGE - 0.0x100.0x0.5</t>
        </is>
      </c>
      <c r="E567" s="168" t="n">
        <v>0.19</v>
      </c>
      <c r="F567" s="168" t="n">
        <v>11.2</v>
      </c>
      <c r="G567" s="169" t="n">
        <v>7.84</v>
      </c>
    </row>
    <row r="568">
      <c r="C568" s="172" t="n"/>
      <c r="D568" s="168" t="inlineStr">
        <is>
          <t>8117752:ARCELORMITTAL PROTO FLORANGE - 0.0x1200.0x1.8</t>
        </is>
      </c>
      <c r="E568" s="168" t="n">
        <v>0.25</v>
      </c>
      <c r="F568" s="168" t="n">
        <v>6.2</v>
      </c>
      <c r="G568" s="169" t="n">
        <v>3.33</v>
      </c>
    </row>
    <row r="569">
      <c r="C569" s="173" t="n"/>
      <c r="D569" s="174" t="inlineStr">
        <is>
          <t>8118568:ARCELORMITTAL PROTO FLORANGE - 0.0x363.0x1.8</t>
        </is>
      </c>
      <c r="E569" s="174" t="n">
        <v>0.07000000000000001</v>
      </c>
      <c r="F569" s="174" t="n">
        <v>1.725</v>
      </c>
      <c r="G569" s="175" t="n">
        <v>3.33</v>
      </c>
    </row>
    <row r="573">
      <c r="C573" s="162" t="inlineStr">
        <is>
          <t xml:space="preserve">Details for : R1 proto - Postes Forecast W15 </t>
        </is>
      </c>
      <c r="D573" s="163" t="inlineStr">
        <is>
          <t>Article : Client - Length x Width x Thickness</t>
        </is>
      </c>
      <c r="E573" s="163" t="inlineStr">
        <is>
          <t>Postes</t>
        </is>
      </c>
      <c r="F573" s="163" t="inlineStr">
        <is>
          <t>Tonnes</t>
        </is>
      </c>
      <c r="G573" s="164" t="inlineStr">
        <is>
          <t>Productivity</t>
        </is>
      </c>
    </row>
    <row r="574">
      <c r="C574" s="165" t="inlineStr">
        <is>
          <t>Sum Tonnes : 15.76</t>
        </is>
      </c>
      <c r="D574" s="166" t="inlineStr">
        <is>
          <t>8119014:ARCELORMITTAL PROTO FLORANGE - 500.0x1045.0x1.1</t>
        </is>
      </c>
      <c r="E574" s="166" t="n">
        <v>0.01</v>
      </c>
      <c r="F574" s="166" t="n">
        <v>0.1365</v>
      </c>
      <c r="G574" s="167" t="n">
        <v>3.33</v>
      </c>
    </row>
    <row r="575">
      <c r="C575" s="165" t="inlineStr">
        <is>
          <t>Sum Postes : 0.64</t>
        </is>
      </c>
      <c r="D575" s="168" t="inlineStr">
        <is>
          <t>8117856:ARCELORMITTAL PROTO FLORANGE - 0.0x484.0x2.0</t>
        </is>
      </c>
      <c r="E575" s="168" t="n">
        <v>0.14</v>
      </c>
      <c r="F575" s="168" t="n">
        <v>4.029</v>
      </c>
      <c r="G575" s="169" t="n">
        <v>3.86</v>
      </c>
    </row>
    <row r="576">
      <c r="C576" s="165" t="inlineStr">
        <is>
          <t>Average Productivity : 3.28</t>
        </is>
      </c>
      <c r="D576" s="168" t="inlineStr">
        <is>
          <t>8117857:ARCELORMITTAL PROTO FLORANGE - 0.0x1015.0x1.5</t>
        </is>
      </c>
      <c r="E576" s="168" t="n">
        <v>0.12</v>
      </c>
      <c r="F576" s="168" t="n">
        <v>3.1</v>
      </c>
      <c r="G576" s="169" t="n">
        <v>3.33</v>
      </c>
    </row>
    <row r="577">
      <c r="C577" s="172" t="n"/>
      <c r="D577" s="168" t="inlineStr">
        <is>
          <t>8117858:ARCELORMITTAL PROTO FLORANGE - 0.0x1037.0x1.5</t>
        </is>
      </c>
      <c r="E577" s="168" t="n">
        <v>0.16</v>
      </c>
      <c r="F577" s="168" t="n">
        <v>3.999</v>
      </c>
      <c r="G577" s="169" t="n">
        <v>3.33</v>
      </c>
    </row>
    <row r="578">
      <c r="C578" s="173" t="n"/>
      <c r="D578" s="177" t="inlineStr">
        <is>
          <t>8117859:ARCELORMITTAL PROTO FLORANGE - 0.0x701.0x3.0</t>
        </is>
      </c>
      <c r="E578" s="177" t="n">
        <v>0.21</v>
      </c>
      <c r="F578" s="177" t="n">
        <v>4.5</v>
      </c>
      <c r="G578" s="178" t="n">
        <v>2.92</v>
      </c>
    </row>
    <row r="582">
      <c r="C582" s="162" t="inlineStr">
        <is>
          <t xml:space="preserve">Details for : R1 proto - Postes Forecast W16 </t>
        </is>
      </c>
      <c r="D582" s="163" t="inlineStr">
        <is>
          <t>Article : Client - Length x Width x Thickness</t>
        </is>
      </c>
      <c r="E582" s="163" t="inlineStr">
        <is>
          <t>Postes</t>
        </is>
      </c>
      <c r="F582" s="163" t="inlineStr">
        <is>
          <t>Tonnes</t>
        </is>
      </c>
      <c r="G582" s="164" t="inlineStr">
        <is>
          <t>Productivity</t>
        </is>
      </c>
    </row>
    <row r="583">
      <c r="C583" s="165" t="inlineStr">
        <is>
          <t>Sum Tonnes : 6.6</t>
        </is>
      </c>
      <c r="D583" s="170" t="inlineStr">
        <is>
          <t>8119246:GESTAMP LE THEIL - 0.0x1150.0x1.48</t>
        </is>
      </c>
      <c r="E583" s="170" t="n">
        <v>0.15</v>
      </c>
      <c r="F583" s="170" t="n">
        <v>6.6</v>
      </c>
      <c r="G583" s="171" t="n">
        <v>5.82</v>
      </c>
    </row>
    <row r="584">
      <c r="C584" s="165" t="inlineStr">
        <is>
          <t>Sum Postes : 0.15</t>
        </is>
      </c>
      <c r="D584" s="168" t="n"/>
      <c r="E584" s="168" t="n"/>
      <c r="F584" s="168" t="n"/>
      <c r="G584" s="169" t="n"/>
    </row>
    <row r="585">
      <c r="C585" s="176" t="inlineStr">
        <is>
          <t>Average Productivity : 5.87</t>
        </is>
      </c>
      <c r="D585" s="174" t="n"/>
      <c r="E585" s="174" t="n"/>
      <c r="F585" s="174" t="n"/>
      <c r="G585" s="175" t="n"/>
    </row>
    <row r="589">
      <c r="C589" s="162" t="inlineStr">
        <is>
          <t xml:space="preserve">Details for : R1 proto - Postes Forecast W17 </t>
        </is>
      </c>
      <c r="D589" s="163" t="inlineStr">
        <is>
          <t>Article : Client - Length x Width x Thickness</t>
        </is>
      </c>
      <c r="E589" s="163" t="inlineStr">
        <is>
          <t>Postes</t>
        </is>
      </c>
      <c r="F589" s="163" t="inlineStr">
        <is>
          <t>Tonnes</t>
        </is>
      </c>
      <c r="G589" s="164" t="inlineStr">
        <is>
          <t>Productivity</t>
        </is>
      </c>
    </row>
    <row r="590">
      <c r="C590" s="165" t="inlineStr">
        <is>
          <t>Sum Tonnes : 16.5</t>
        </is>
      </c>
      <c r="D590" s="170" t="inlineStr">
        <is>
          <t>8118470:ARCELORMITTAL PROTO FLORANGE - 0.0x1487.0x1.6</t>
        </is>
      </c>
      <c r="E590" s="170" t="n">
        <v>0.66</v>
      </c>
      <c r="F590" s="170" t="n">
        <v>16.5</v>
      </c>
      <c r="G590" s="171" t="n">
        <v>3.33</v>
      </c>
    </row>
    <row r="591">
      <c r="C591" s="165" t="inlineStr">
        <is>
          <t>Sum Postes : 0.66</t>
        </is>
      </c>
      <c r="D591" s="168" t="n"/>
      <c r="E591" s="168" t="n"/>
      <c r="F591" s="168" t="n"/>
      <c r="G591" s="169" t="n"/>
    </row>
    <row r="592">
      <c r="C592" s="176" t="inlineStr">
        <is>
          <t>Average Productivity : 3.33</t>
        </is>
      </c>
      <c r="D592" s="174" t="n"/>
      <c r="E592" s="174" t="n"/>
      <c r="F592" s="174" t="n"/>
      <c r="G592" s="175" t="n"/>
    </row>
    <row r="596">
      <c r="C596" s="162" t="inlineStr">
        <is>
          <t xml:space="preserve">Details for : R1 proto - Postes Forecast W18 </t>
        </is>
      </c>
      <c r="D596" s="163" t="inlineStr">
        <is>
          <t>Article : Client - Length x Width x Thickness</t>
        </is>
      </c>
      <c r="E596" s="163" t="inlineStr">
        <is>
          <t>Postes</t>
        </is>
      </c>
      <c r="F596" s="163" t="inlineStr">
        <is>
          <t>Tonnes</t>
        </is>
      </c>
      <c r="G596" s="164" t="inlineStr">
        <is>
          <t>Productivity</t>
        </is>
      </c>
    </row>
    <row r="597">
      <c r="C597" s="165" t="inlineStr">
        <is>
          <t>Sum Tonnes : 23.5</t>
        </is>
      </c>
      <c r="D597" s="170" t="inlineStr">
        <is>
          <t>8118396:ARCELORMITTAL PROTO FLORANGE - 0.0x1250.0x1.0</t>
        </is>
      </c>
      <c r="E597" s="170" t="n">
        <v>0.42</v>
      </c>
      <c r="F597" s="170" t="n">
        <v>12</v>
      </c>
      <c r="G597" s="171" t="n">
        <v>3.85</v>
      </c>
    </row>
    <row r="598">
      <c r="C598" s="165" t="inlineStr">
        <is>
          <t>Sum Postes : 0.88</t>
        </is>
      </c>
      <c r="D598" s="166" t="inlineStr">
        <is>
          <t>8118393:ARCELORMITTAL PROTO FLORANGE - 0.0x1075.0x0.9</t>
        </is>
      </c>
      <c r="E598" s="166" t="n">
        <v>0.46</v>
      </c>
      <c r="F598" s="166" t="n">
        <v>11.5</v>
      </c>
      <c r="G598" s="167" t="n">
        <v>3.33</v>
      </c>
    </row>
    <row r="599">
      <c r="C599" s="176" t="inlineStr">
        <is>
          <t>Average Productivity : 3.56</t>
        </is>
      </c>
      <c r="D599" s="174" t="n"/>
      <c r="E599" s="174" t="n"/>
      <c r="F599" s="174" t="n"/>
      <c r="G599" s="175" t="n"/>
    </row>
    <row r="603">
      <c r="C603" s="162" t="inlineStr">
        <is>
          <t xml:space="preserve">Details for : R1 proto - Postes Forecast W19 </t>
        </is>
      </c>
      <c r="D603" s="163" t="inlineStr">
        <is>
          <t>Article : Client - Length x Width x Thickness</t>
        </is>
      </c>
      <c r="E603" s="163" t="inlineStr">
        <is>
          <t>Postes</t>
        </is>
      </c>
      <c r="F603" s="163" t="inlineStr">
        <is>
          <t>Tonnes</t>
        </is>
      </c>
      <c r="G603" s="164" t="inlineStr">
        <is>
          <t>Productivity</t>
        </is>
      </c>
    </row>
    <row r="604">
      <c r="C604" s="165" t="inlineStr">
        <is>
          <t>Sum Tonnes : 13.0</t>
        </is>
      </c>
      <c r="D604" s="166" t="inlineStr">
        <is>
          <t>8115690:ARCELORMITTAL PROTO FLORANGE - 0.0x1235.0x0.65</t>
        </is>
      </c>
      <c r="E604" s="166" t="n">
        <v>0.12</v>
      </c>
      <c r="F604" s="166" t="n">
        <v>3</v>
      </c>
      <c r="G604" s="167" t="n">
        <v>3.33</v>
      </c>
    </row>
    <row r="605">
      <c r="C605" s="165" t="inlineStr">
        <is>
          <t>Sum Postes : 0.52</t>
        </is>
      </c>
      <c r="D605" s="170" t="inlineStr">
        <is>
          <t>8117094:ARCELORMITTAL PROTO FLORANGE - 0.0x1035.0x1.2</t>
        </is>
      </c>
      <c r="E605" s="170" t="n">
        <v>0.4</v>
      </c>
      <c r="F605" s="170" t="n">
        <v>10</v>
      </c>
      <c r="G605" s="171" t="n">
        <v>3.33</v>
      </c>
    </row>
    <row r="606">
      <c r="C606" s="176" t="inlineStr">
        <is>
          <t>Average Productivity : 3.33</t>
        </is>
      </c>
      <c r="D606" s="174" t="n"/>
      <c r="E606" s="174" t="n"/>
      <c r="F606" s="174" t="n"/>
      <c r="G606" s="175" t="n"/>
    </row>
    <row r="610">
      <c r="C610" s="162" t="inlineStr">
        <is>
          <t>Details for : R6 serie - Postes Backlog</t>
        </is>
      </c>
      <c r="D610" s="163" t="inlineStr">
        <is>
          <t>Article : Client - Length x Width x Thickness</t>
        </is>
      </c>
      <c r="E610" s="163" t="inlineStr">
        <is>
          <t>Postes</t>
        </is>
      </c>
      <c r="F610" s="163" t="inlineStr">
        <is>
          <t>Tonnes</t>
        </is>
      </c>
      <c r="G610" s="164" t="inlineStr">
        <is>
          <t>Productivity</t>
        </is>
      </c>
    </row>
    <row r="611">
      <c r="C611" s="165" t="inlineStr">
        <is>
          <t>Sum Tonnes : 200.5</t>
        </is>
      </c>
      <c r="D611" s="168" t="inlineStr">
        <is>
          <t>8057398:PROFILES HB SNC - 0.0x75.0x1.5</t>
        </is>
      </c>
      <c r="E611" s="168" t="n">
        <v>0.01</v>
      </c>
      <c r="F611" s="168" t="n">
        <v>0.66</v>
      </c>
      <c r="G611" s="169" t="n">
        <v>9.289999999999999</v>
      </c>
    </row>
    <row r="612">
      <c r="C612" s="165" t="inlineStr">
        <is>
          <t>Sum Postes : 1.35</t>
        </is>
      </c>
      <c r="D612" s="168" t="inlineStr">
        <is>
          <t>8028440:VIESSMANN FAULQUEMONT SAS - 0.0x103.1x1.5</t>
        </is>
      </c>
      <c r="E612" s="168" t="n">
        <v>0.18</v>
      </c>
      <c r="F612" s="168" t="n">
        <v>24.26</v>
      </c>
      <c r="G612" s="169" t="n">
        <v>18.11</v>
      </c>
    </row>
    <row r="613">
      <c r="C613" s="165" t="inlineStr">
        <is>
          <t>Average Productivity : 19.8</t>
        </is>
      </c>
      <c r="D613" s="168" t="inlineStr">
        <is>
          <t>8115019:GESTAMP SERMAISES - 0.0x330.0x1.4</t>
        </is>
      </c>
      <c r="E613" s="168" t="n">
        <v>0.02</v>
      </c>
      <c r="F613" s="168" t="n">
        <v>2.6</v>
      </c>
      <c r="G613" s="169" t="n">
        <v>20.38</v>
      </c>
    </row>
    <row r="614">
      <c r="C614" s="172" t="n"/>
      <c r="D614" s="168" t="inlineStr">
        <is>
          <t>8115546:GESTAMP SERMAISES - 0.0x840.0x1.96</t>
        </is>
      </c>
      <c r="E614" s="168" t="n">
        <v>0.02</v>
      </c>
      <c r="F614" s="168" t="n">
        <v>2.5</v>
      </c>
      <c r="G614" s="169" t="n">
        <v>20.38</v>
      </c>
    </row>
    <row r="615">
      <c r="C615" s="172" t="n"/>
      <c r="D615" s="168" t="inlineStr">
        <is>
          <t>8012273:BAOMARC - 0.0x371.0x1.5</t>
        </is>
      </c>
      <c r="E615" s="168" t="n">
        <v>0.26</v>
      </c>
      <c r="F615" s="168" t="n">
        <v>48</v>
      </c>
      <c r="G615" s="169" t="n">
        <v>24.42</v>
      </c>
    </row>
    <row r="616">
      <c r="C616" s="172" t="n"/>
      <c r="D616" s="170" t="inlineStr">
        <is>
          <t>8012274:BAOMARC - 0.0x286.7x1.5</t>
        </is>
      </c>
      <c r="E616" s="170" t="n">
        <v>0.26</v>
      </c>
      <c r="F616" s="170" t="n">
        <v>49.12</v>
      </c>
      <c r="G616" s="171" t="n">
        <v>25</v>
      </c>
    </row>
    <row r="617">
      <c r="C617" s="172" t="n"/>
      <c r="D617" s="168" t="inlineStr">
        <is>
          <t>8011914:MAGNA LORRAINE - 0.0x652.0x1.5</t>
        </is>
      </c>
      <c r="E617" s="168" t="n">
        <v>0.03</v>
      </c>
      <c r="F617" s="168" t="n">
        <v>7</v>
      </c>
      <c r="G617" s="169" t="n">
        <v>30.79</v>
      </c>
    </row>
    <row r="618">
      <c r="C618" s="172" t="n"/>
      <c r="D618" s="168" t="inlineStr">
        <is>
          <t>8011972:TRICO BELGIUM SA - 0.0x270.0x2.0</t>
        </is>
      </c>
      <c r="E618" s="168" t="n">
        <v>0.25</v>
      </c>
      <c r="F618" s="168" t="n">
        <v>25</v>
      </c>
      <c r="G618" s="169" t="n">
        <v>13.1</v>
      </c>
    </row>
    <row r="619">
      <c r="C619" s="172" t="n"/>
      <c r="D619" s="166" t="inlineStr">
        <is>
          <t>8012074:GESTAMP NOURY S.A. - 0.0x912.0x1.2</t>
        </is>
      </c>
      <c r="E619" s="166" t="n">
        <v>0</v>
      </c>
      <c r="F619" s="166" t="n">
        <v>0.315</v>
      </c>
      <c r="G619" s="167" t="n">
        <v>13.62</v>
      </c>
    </row>
    <row r="620">
      <c r="C620" s="172" t="n"/>
      <c r="D620" s="168" t="inlineStr">
        <is>
          <t>8012107:UNIPRES MAGNETTO CORPORATION - 0.0x1054.0x1.6</t>
        </is>
      </c>
      <c r="E620" s="168" t="n">
        <v>0.01</v>
      </c>
      <c r="F620" s="168" t="n">
        <v>1.76</v>
      </c>
      <c r="G620" s="169" t="n">
        <v>20.76</v>
      </c>
    </row>
    <row r="621">
      <c r="C621" s="172" t="n"/>
      <c r="D621" s="168" t="inlineStr">
        <is>
          <t>8012111:UNIPRES MAGNETTO CORPORATION - 0.0x1243.0x1.0</t>
        </is>
      </c>
      <c r="E621" s="168" t="n">
        <v>0.01</v>
      </c>
      <c r="F621" s="168" t="n">
        <v>1.33</v>
      </c>
      <c r="G621" s="169" t="n">
        <v>19.85</v>
      </c>
    </row>
    <row r="622">
      <c r="C622" s="172" t="n"/>
      <c r="D622" s="168" t="inlineStr">
        <is>
          <t>8015927:TRICO BELGIUM SA - 0.0x332.0x2.0</t>
        </is>
      </c>
      <c r="E622" s="168" t="n">
        <v>0.23</v>
      </c>
      <c r="F622" s="168" t="n">
        <v>25</v>
      </c>
      <c r="G622" s="169" t="n">
        <v>14.7</v>
      </c>
    </row>
    <row r="623">
      <c r="C623" s="173" t="n"/>
      <c r="D623" s="174" t="inlineStr">
        <is>
          <t>8022953:BAOMARC - 0.0x330.3x1.8</t>
        </is>
      </c>
      <c r="E623" s="174" t="n">
        <v>0.07000000000000001</v>
      </c>
      <c r="F623" s="174" t="n">
        <v>12.95</v>
      </c>
      <c r="G623" s="175" t="n">
        <v>23.09</v>
      </c>
    </row>
    <row r="627">
      <c r="C627" s="162" t="inlineStr">
        <is>
          <t xml:space="preserve">Details for : R6 serie - Postes Forecast W15 </t>
        </is>
      </c>
      <c r="D627" s="163" t="inlineStr">
        <is>
          <t>Article : Client - Length x Width x Thickness</t>
        </is>
      </c>
      <c r="E627" s="163" t="inlineStr">
        <is>
          <t>Postes</t>
        </is>
      </c>
      <c r="F627" s="163" t="inlineStr">
        <is>
          <t>Tonnes</t>
        </is>
      </c>
      <c r="G627" s="164" t="inlineStr">
        <is>
          <t>Productivity</t>
        </is>
      </c>
    </row>
    <row r="628">
      <c r="C628" s="165" t="inlineStr">
        <is>
          <t>Sum Tonnes : 493.15</t>
        </is>
      </c>
      <c r="D628" s="168" t="inlineStr">
        <is>
          <t>8089687:ArcelorMittal FRANCE - 0.0x875.0x1.17</t>
        </is>
      </c>
      <c r="E628" s="168" t="n">
        <v>0.12</v>
      </c>
      <c r="F628" s="168" t="n">
        <v>25.86</v>
      </c>
      <c r="G628" s="169" t="n">
        <v>28.81</v>
      </c>
    </row>
    <row r="629">
      <c r="C629" s="165" t="inlineStr">
        <is>
          <t>Sum Postes : 3.02</t>
        </is>
      </c>
      <c r="D629" s="168" t="inlineStr">
        <is>
          <t>8089688:ArcelorMittal FRANCE - 0.0x708.0x1.1</t>
        </is>
      </c>
      <c r="E629" s="168" t="n">
        <v>0.12</v>
      </c>
      <c r="F629" s="168" t="n">
        <v>26.527</v>
      </c>
      <c r="G629" s="169" t="n">
        <v>28.75</v>
      </c>
    </row>
    <row r="630">
      <c r="C630" s="165" t="inlineStr">
        <is>
          <t>Average Productivity : 21.77</t>
        </is>
      </c>
      <c r="D630" s="170" t="inlineStr">
        <is>
          <t>8087750:ArcelorMittal FRANCE - 0.0x725.0x1.6</t>
        </is>
      </c>
      <c r="E630" s="170" t="n">
        <v>0.6899999999999999</v>
      </c>
      <c r="F630" s="170" t="n">
        <v>138.948</v>
      </c>
      <c r="G630" s="171" t="n">
        <v>26.91</v>
      </c>
    </row>
    <row r="631">
      <c r="C631" s="172" t="n"/>
      <c r="D631" s="168" t="inlineStr">
        <is>
          <t>8089558:ArcelorMittal FRANCE - 0.0x880.0x1.4</t>
        </is>
      </c>
      <c r="E631" s="168" t="n">
        <v>0.12</v>
      </c>
      <c r="F631" s="168" t="n">
        <v>20.077</v>
      </c>
      <c r="G631" s="169" t="n">
        <v>23.06</v>
      </c>
    </row>
    <row r="632">
      <c r="C632" s="172" t="n"/>
      <c r="D632" s="168" t="inlineStr">
        <is>
          <t>8012273:BAOMARC - 0.0x371.0x1.5</t>
        </is>
      </c>
      <c r="E632" s="168" t="n">
        <v>0.13</v>
      </c>
      <c r="F632" s="168" t="n">
        <v>24</v>
      </c>
      <c r="G632" s="169" t="n">
        <v>24.42</v>
      </c>
    </row>
    <row r="633">
      <c r="C633" s="172" t="n"/>
      <c r="D633" s="168" t="inlineStr">
        <is>
          <t>8012274:BAOMARC - 0.0x286.7x1.5</t>
        </is>
      </c>
      <c r="E633" s="168" t="n">
        <v>0.13</v>
      </c>
      <c r="F633" s="168" t="n">
        <v>24</v>
      </c>
      <c r="G633" s="169" t="n">
        <v>25</v>
      </c>
    </row>
    <row r="634">
      <c r="C634" s="172" t="n"/>
      <c r="D634" s="168" t="inlineStr">
        <is>
          <t>8011852:BAOMARC - 0.0x193.1x1.2</t>
        </is>
      </c>
      <c r="E634" s="168" t="n">
        <v>0.09</v>
      </c>
      <c r="F634" s="168" t="n">
        <v>12</v>
      </c>
      <c r="G634" s="169" t="n">
        <v>16.86</v>
      </c>
    </row>
    <row r="635">
      <c r="C635" s="172" t="n"/>
      <c r="D635" s="168" t="inlineStr">
        <is>
          <t>8011924:BAOMARC - 0.0x497.8x1.5</t>
        </is>
      </c>
      <c r="E635" s="168" t="n">
        <v>0.31</v>
      </c>
      <c r="F635" s="168" t="n">
        <v>50</v>
      </c>
      <c r="G635" s="169" t="n">
        <v>21.48</v>
      </c>
    </row>
    <row r="636">
      <c r="C636" s="172" t="n"/>
      <c r="D636" s="168" t="inlineStr">
        <is>
          <t>8011972:TRICO BELGIUM SA - 0.0x270.0x2.0</t>
        </is>
      </c>
      <c r="E636" s="168" t="n">
        <v>0.25</v>
      </c>
      <c r="F636" s="168" t="n">
        <v>25</v>
      </c>
      <c r="G636" s="169" t="n">
        <v>13.1</v>
      </c>
    </row>
    <row r="637">
      <c r="C637" s="172" t="n"/>
      <c r="D637" s="166" t="inlineStr">
        <is>
          <t>8012074:GESTAMP NOURY S.A. - 0.0x912.0x1.2</t>
        </is>
      </c>
      <c r="E637" s="166" t="n">
        <v>0</v>
      </c>
      <c r="F637" s="166" t="n">
        <v>0.315</v>
      </c>
      <c r="G637" s="167" t="n">
        <v>13.62</v>
      </c>
    </row>
    <row r="638">
      <c r="C638" s="172" t="n"/>
      <c r="D638" s="168" t="inlineStr">
        <is>
          <t>8012088:UNIPRES MAGNETTO CORPORATION - 0.0x707.0x1.8</t>
        </is>
      </c>
      <c r="E638" s="168" t="n">
        <v>0.04</v>
      </c>
      <c r="F638" s="168" t="n">
        <v>10</v>
      </c>
      <c r="G638" s="169" t="n">
        <v>29.93</v>
      </c>
    </row>
    <row r="639">
      <c r="C639" s="172" t="n"/>
      <c r="D639" s="168" t="inlineStr">
        <is>
          <t>8012107:UNIPRES MAGNETTO CORPORATION - 0.0x1054.0x1.6</t>
        </is>
      </c>
      <c r="E639" s="168" t="n">
        <v>0.09</v>
      </c>
      <c r="F639" s="168" t="n">
        <v>14</v>
      </c>
      <c r="G639" s="169" t="n">
        <v>20.76</v>
      </c>
    </row>
    <row r="640">
      <c r="C640" s="172" t="n"/>
      <c r="D640" s="168" t="inlineStr">
        <is>
          <t>8012111:UNIPRES MAGNETTO CORPORATION - 0.0x1243.0x1.0</t>
        </is>
      </c>
      <c r="E640" s="168" t="n">
        <v>0.09</v>
      </c>
      <c r="F640" s="168" t="n">
        <v>14</v>
      </c>
      <c r="G640" s="169" t="n">
        <v>19.85</v>
      </c>
    </row>
    <row r="641">
      <c r="C641" s="172" t="n"/>
      <c r="D641" s="168" t="inlineStr">
        <is>
          <t>8012112:UNIPRES MAGNETTO CORPORATION - 0.0x969.0x1.2</t>
        </is>
      </c>
      <c r="E641" s="168" t="n">
        <v>0.08</v>
      </c>
      <c r="F641" s="168" t="n">
        <v>14</v>
      </c>
      <c r="G641" s="169" t="n">
        <v>23.13</v>
      </c>
    </row>
    <row r="642">
      <c r="C642" s="172" t="n"/>
      <c r="D642" s="168" t="inlineStr">
        <is>
          <t>8012383:WAGON AUTOMOTIVE - 0.0x650.0x0.75</t>
        </is>
      </c>
      <c r="E642" s="168" t="n">
        <v>0.05</v>
      </c>
      <c r="F642" s="168" t="n">
        <v>7.04</v>
      </c>
      <c r="G642" s="169" t="n">
        <v>20.81</v>
      </c>
    </row>
    <row r="643">
      <c r="C643" s="172" t="n"/>
      <c r="D643" s="168" t="inlineStr">
        <is>
          <t>8015927:TRICO BELGIUM SA - 0.0x332.0x2.0</t>
        </is>
      </c>
      <c r="E643" s="168" t="n">
        <v>0.23</v>
      </c>
      <c r="F643" s="168" t="n">
        <v>25</v>
      </c>
      <c r="G643" s="169" t="n">
        <v>14.7</v>
      </c>
    </row>
    <row r="644">
      <c r="C644" s="172" t="n"/>
      <c r="D644" s="168" t="inlineStr">
        <is>
          <t>8022750:ARCELORMITTAL TB LORRAINE SAS - 0.0x521.0x1.6</t>
        </is>
      </c>
      <c r="E644" s="168" t="n">
        <v>0.1</v>
      </c>
      <c r="F644" s="168" t="n">
        <v>17.38</v>
      </c>
      <c r="G644" s="169" t="n">
        <v>22.46</v>
      </c>
    </row>
    <row r="645">
      <c r="C645" s="172" t="n"/>
      <c r="D645" s="168" t="inlineStr">
        <is>
          <t>8012371:MAGNA LORRAINE - 0.0x283.0x1.05</t>
        </is>
      </c>
      <c r="E645" s="168" t="n">
        <v>0.09</v>
      </c>
      <c r="F645" s="168" t="n">
        <v>16</v>
      </c>
      <c r="G645" s="169" t="n">
        <v>22.61</v>
      </c>
    </row>
    <row r="646">
      <c r="C646" s="172" t="n"/>
      <c r="D646" s="168" t="inlineStr">
        <is>
          <t>8058635:MAGNA LORRAINE - 0.0x690.0x1.15</t>
        </is>
      </c>
      <c r="E646" s="168" t="n">
        <v>0.06</v>
      </c>
      <c r="F646" s="168" t="n">
        <v>11</v>
      </c>
      <c r="G646" s="169" t="n">
        <v>25.21</v>
      </c>
    </row>
    <row r="647">
      <c r="C647" s="173" t="n"/>
      <c r="D647" s="174" t="inlineStr">
        <is>
          <t>8086194:MA POLSKA - 0.0x184.3x1.6</t>
        </is>
      </c>
      <c r="E647" s="174" t="n">
        <v>0.23</v>
      </c>
      <c r="F647" s="174" t="n">
        <v>18</v>
      </c>
      <c r="G647" s="175" t="n">
        <v>10.39</v>
      </c>
    </row>
    <row r="651">
      <c r="C651" s="162" t="inlineStr">
        <is>
          <t xml:space="preserve">Details for : R6 serie - Postes Forecast W16 </t>
        </is>
      </c>
      <c r="D651" s="163" t="inlineStr">
        <is>
          <t>Article : Client - Length x Width x Thickness</t>
        </is>
      </c>
      <c r="E651" s="163" t="inlineStr">
        <is>
          <t>Postes</t>
        </is>
      </c>
      <c r="F651" s="163" t="inlineStr">
        <is>
          <t>Tonnes</t>
        </is>
      </c>
      <c r="G651" s="164" t="inlineStr">
        <is>
          <t>Productivity</t>
        </is>
      </c>
    </row>
    <row r="652">
      <c r="C652" s="165" t="inlineStr">
        <is>
          <t>Sum Tonnes : 469.47</t>
        </is>
      </c>
      <c r="D652" s="168" t="inlineStr">
        <is>
          <t>8089558:ArcelorMittal FRANCE - 0.0x880.0x1.4</t>
        </is>
      </c>
      <c r="E652" s="168" t="n">
        <v>0.12</v>
      </c>
      <c r="F652" s="168" t="n">
        <v>20.077</v>
      </c>
      <c r="G652" s="169" t="n">
        <v>23.06</v>
      </c>
    </row>
    <row r="653">
      <c r="C653" s="165" t="inlineStr">
        <is>
          <t>Sum Postes : 2.97</t>
        </is>
      </c>
      <c r="D653" s="168" t="inlineStr">
        <is>
          <t>8011972:TRICO BELGIUM SA - 0.0x270.0x2.0</t>
        </is>
      </c>
      <c r="E653" s="168" t="n">
        <v>0.25</v>
      </c>
      <c r="F653" s="168" t="n">
        <v>25</v>
      </c>
      <c r="G653" s="169" t="n">
        <v>13.1</v>
      </c>
    </row>
    <row r="654">
      <c r="C654" s="165" t="inlineStr">
        <is>
          <t>Average Productivity : 21.08</t>
        </is>
      </c>
      <c r="D654" s="168" t="inlineStr">
        <is>
          <t>8013865:GESTAMP NOURY S.A. - 0.0x280.4x1.05</t>
        </is>
      </c>
      <c r="E654" s="168" t="n">
        <v>0.21</v>
      </c>
      <c r="F654" s="168" t="n">
        <v>34.74</v>
      </c>
      <c r="G654" s="169" t="n">
        <v>22.31</v>
      </c>
    </row>
    <row r="655">
      <c r="C655" s="172" t="n"/>
      <c r="D655" s="168" t="inlineStr">
        <is>
          <t>8012074:GESTAMP NOURY S.A. - 0.0x912.0x1.2</t>
        </is>
      </c>
      <c r="E655" s="168" t="n">
        <v>0.07000000000000001</v>
      </c>
      <c r="F655" s="168" t="n">
        <v>7.5</v>
      </c>
      <c r="G655" s="169" t="n">
        <v>13.62</v>
      </c>
    </row>
    <row r="656">
      <c r="C656" s="172" t="n"/>
      <c r="D656" s="168" t="inlineStr">
        <is>
          <t>8012088:UNIPRES MAGNETTO CORPORATION - 0.0x707.0x1.8</t>
        </is>
      </c>
      <c r="E656" s="168" t="n">
        <v>0.04</v>
      </c>
      <c r="F656" s="168" t="n">
        <v>10</v>
      </c>
      <c r="G656" s="169" t="n">
        <v>29.93</v>
      </c>
    </row>
    <row r="657">
      <c r="C657" s="172" t="n"/>
      <c r="D657" s="168" t="inlineStr">
        <is>
          <t>8012089:UNIPRES MAGNETTO CORPORATION - 0.0x663.0x1.8</t>
        </is>
      </c>
      <c r="E657" s="168" t="n">
        <v>0.07000000000000001</v>
      </c>
      <c r="F657" s="168" t="n">
        <v>14</v>
      </c>
      <c r="G657" s="169" t="n">
        <v>26.63</v>
      </c>
    </row>
    <row r="658">
      <c r="C658" s="172" t="n"/>
      <c r="D658" s="168" t="inlineStr">
        <is>
          <t>8012107:UNIPRES MAGNETTO CORPORATION - 0.0x1054.0x1.6</t>
        </is>
      </c>
      <c r="E658" s="168" t="n">
        <v>0.09</v>
      </c>
      <c r="F658" s="168" t="n">
        <v>14</v>
      </c>
      <c r="G658" s="169" t="n">
        <v>20.76</v>
      </c>
    </row>
    <row r="659">
      <c r="C659" s="172" t="n"/>
      <c r="D659" s="168" t="inlineStr">
        <is>
          <t>8012108:UNIPRES MAGNETTO CORPORATION - 0.0x850.0x1.4</t>
        </is>
      </c>
      <c r="E659" s="168" t="n">
        <v>0.12</v>
      </c>
      <c r="F659" s="168" t="n">
        <v>14</v>
      </c>
      <c r="G659" s="169" t="n">
        <v>15.61</v>
      </c>
    </row>
    <row r="660">
      <c r="C660" s="172" t="n"/>
      <c r="D660" s="168" t="inlineStr">
        <is>
          <t>8012109:UNIPRES MAGNETTO CORPORATION - 0.0x742.0x1.8</t>
        </is>
      </c>
      <c r="E660" s="168" t="n">
        <v>0.04</v>
      </c>
      <c r="F660" s="168" t="n">
        <v>10</v>
      </c>
      <c r="G660" s="169" t="n">
        <v>34.14</v>
      </c>
    </row>
    <row r="661">
      <c r="C661" s="172" t="n"/>
      <c r="D661" s="168" t="inlineStr">
        <is>
          <t>8012243:UNIPRES MAGNETTO CORPORATION - 0.0x875.0x1.8</t>
        </is>
      </c>
      <c r="E661" s="168" t="n">
        <v>0.06</v>
      </c>
      <c r="F661" s="168" t="n">
        <v>10</v>
      </c>
      <c r="G661" s="169" t="n">
        <v>24.16</v>
      </c>
    </row>
    <row r="662">
      <c r="C662" s="172" t="n"/>
      <c r="D662" s="168" t="inlineStr">
        <is>
          <t>8012110:UNIPRES MAGNETTO CORPORATION - 0.0x1080.0x1.8</t>
        </is>
      </c>
      <c r="E662" s="168" t="n">
        <v>0.08</v>
      </c>
      <c r="F662" s="168" t="n">
        <v>14</v>
      </c>
      <c r="G662" s="169" t="n">
        <v>24.74</v>
      </c>
    </row>
    <row r="663">
      <c r="C663" s="172" t="n"/>
      <c r="D663" s="168" t="inlineStr">
        <is>
          <t>8012114:UNIPRES MAGNETTO CORPORATION - 0.0x1500.0x1.2</t>
        </is>
      </c>
      <c r="E663" s="168" t="n">
        <v>0.07000000000000001</v>
      </c>
      <c r="F663" s="168" t="n">
        <v>12.5</v>
      </c>
      <c r="G663" s="169" t="n">
        <v>22.64</v>
      </c>
    </row>
    <row r="664">
      <c r="C664" s="172" t="n"/>
      <c r="D664" s="170" t="inlineStr">
        <is>
          <t>8013650:EUROSTAMP S.A - 0.0x480.0x2.2</t>
        </is>
      </c>
      <c r="E664" s="170" t="n">
        <v>0.26</v>
      </c>
      <c r="F664" s="170" t="n">
        <v>53.44</v>
      </c>
      <c r="G664" s="171" t="n">
        <v>27.69</v>
      </c>
    </row>
    <row r="665">
      <c r="C665" s="172" t="n"/>
      <c r="D665" s="168" t="inlineStr">
        <is>
          <t>8013920:MAGNA LORRAINE - 0.0x450.0x1.3</t>
        </is>
      </c>
      <c r="E665" s="168" t="n">
        <v>0.04</v>
      </c>
      <c r="F665" s="168" t="n">
        <v>8</v>
      </c>
      <c r="G665" s="169" t="n">
        <v>24.71</v>
      </c>
    </row>
    <row r="666">
      <c r="C666" s="172" t="n"/>
      <c r="D666" s="168" t="inlineStr">
        <is>
          <t>8013889:GESTAMP NOURY S.A. - 0.0x226.5x1.6</t>
        </is>
      </c>
      <c r="E666" s="168" t="n">
        <v>0.15</v>
      </c>
      <c r="F666" s="168" t="n">
        <v>26.425</v>
      </c>
      <c r="G666" s="169" t="n">
        <v>22.87</v>
      </c>
    </row>
    <row r="667">
      <c r="C667" s="172" t="n"/>
      <c r="D667" s="168" t="inlineStr">
        <is>
          <t>8014863:UNIPRES MAGNETTO CORPORATION - 0.0x1600.0x1.2</t>
        </is>
      </c>
      <c r="E667" s="168" t="n">
        <v>0.05</v>
      </c>
      <c r="F667" s="168" t="n">
        <v>10</v>
      </c>
      <c r="G667" s="169" t="n">
        <v>25</v>
      </c>
    </row>
    <row r="668">
      <c r="C668" s="172" t="n"/>
      <c r="D668" s="168" t="inlineStr">
        <is>
          <t>8012090:UNIPRES MAGNETTO CORPORATION - 0.0x903.0x1.4</t>
        </is>
      </c>
      <c r="E668" s="168" t="n">
        <v>0.08</v>
      </c>
      <c r="F668" s="168" t="n">
        <v>14</v>
      </c>
      <c r="G668" s="169" t="n">
        <v>22.08</v>
      </c>
    </row>
    <row r="669">
      <c r="C669" s="172" t="n"/>
      <c r="D669" s="168" t="inlineStr">
        <is>
          <t>8022953:BAOMARC - 0.0x330.3x1.8</t>
        </is>
      </c>
      <c r="E669" s="168" t="n">
        <v>0.29</v>
      </c>
      <c r="F669" s="168" t="n">
        <v>50</v>
      </c>
      <c r="G669" s="169" t="n">
        <v>23.09</v>
      </c>
    </row>
    <row r="670">
      <c r="C670" s="172" t="n"/>
      <c r="D670" s="168" t="inlineStr">
        <is>
          <t>8023002:BAOMARC - 0.0x205.8x1.2</t>
        </is>
      </c>
      <c r="E670" s="168" t="n">
        <v>0.17</v>
      </c>
      <c r="F670" s="168" t="n">
        <v>25</v>
      </c>
      <c r="G670" s="169" t="n">
        <v>19.08</v>
      </c>
    </row>
    <row r="671">
      <c r="C671" s="172" t="n"/>
      <c r="D671" s="168" t="inlineStr">
        <is>
          <t>8014842:MAGNA LORRAINE - 0.0x178.0x1.35</t>
        </is>
      </c>
      <c r="E671" s="168" t="n">
        <v>0.12</v>
      </c>
      <c r="F671" s="168" t="n">
        <v>18</v>
      </c>
      <c r="G671" s="169" t="n">
        <v>20.46</v>
      </c>
    </row>
    <row r="672">
      <c r="C672" s="172" t="n"/>
      <c r="D672" s="168" t="inlineStr">
        <is>
          <t>8012371:MAGNA LORRAINE - 0.0x283.0x1.05</t>
        </is>
      </c>
      <c r="E672" s="168" t="n">
        <v>0.05</v>
      </c>
      <c r="F672" s="168" t="n">
        <v>9</v>
      </c>
      <c r="G672" s="169" t="n">
        <v>22.61</v>
      </c>
    </row>
    <row r="673">
      <c r="C673" s="172" t="n"/>
      <c r="D673" s="168" t="inlineStr">
        <is>
          <t>8058635:MAGNA LORRAINE - 0.0x690.0x1.15</t>
        </is>
      </c>
      <c r="E673" s="168" t="n">
        <v>0.05</v>
      </c>
      <c r="F673" s="168" t="n">
        <v>10</v>
      </c>
      <c r="G673" s="169" t="n">
        <v>25.21</v>
      </c>
    </row>
    <row r="674">
      <c r="C674" s="172" t="n"/>
      <c r="D674" s="166" t="inlineStr">
        <is>
          <t>8083082:RENAULT S.A.S - 0.0x530.0x2.0</t>
        </is>
      </c>
      <c r="E674" s="166" t="n">
        <v>0.07000000000000001</v>
      </c>
      <c r="F674" s="166" t="n">
        <v>5</v>
      </c>
      <c r="G674" s="167" t="n">
        <v>10.25</v>
      </c>
    </row>
    <row r="675">
      <c r="C675" s="172" t="n"/>
      <c r="D675" s="168" t="inlineStr">
        <is>
          <t>8083083:RENAULT S.A.S - 0.0x725.0x0.65</t>
        </is>
      </c>
      <c r="E675" s="168" t="n">
        <v>0.04</v>
      </c>
      <c r="F675" s="168" t="n">
        <v>8</v>
      </c>
      <c r="G675" s="169" t="n">
        <v>24.3</v>
      </c>
    </row>
    <row r="676">
      <c r="C676" s="172" t="n"/>
      <c r="D676" s="168" t="inlineStr">
        <is>
          <t>8083084:RENAULT S.A.S - 0.0x810.0x2.3</t>
        </is>
      </c>
      <c r="E676" s="168" t="n">
        <v>0.08</v>
      </c>
      <c r="F676" s="168" t="n">
        <v>6</v>
      </c>
      <c r="G676" s="169" t="n">
        <v>9.460000000000001</v>
      </c>
    </row>
    <row r="677">
      <c r="C677" s="172" t="n"/>
      <c r="D677" s="168" t="inlineStr">
        <is>
          <t>8086196:MA POLSKA - 0.0x227.5x1.6</t>
        </is>
      </c>
      <c r="E677" s="168" t="n">
        <v>0.08</v>
      </c>
      <c r="F677" s="168" t="n">
        <v>10</v>
      </c>
      <c r="G677" s="169" t="n">
        <v>16.98</v>
      </c>
    </row>
    <row r="678">
      <c r="C678" s="172" t="n"/>
      <c r="D678" s="168" t="inlineStr">
        <is>
          <t>8088347:RENAULT S.A.S - 0.0x505.0x2.0</t>
        </is>
      </c>
      <c r="E678" s="168" t="n">
        <v>0.08</v>
      </c>
      <c r="F678" s="168" t="n">
        <v>6</v>
      </c>
      <c r="G678" s="169" t="n">
        <v>9.6</v>
      </c>
    </row>
    <row r="679">
      <c r="C679" s="172" t="n"/>
      <c r="D679" s="168" t="inlineStr">
        <is>
          <t>8108338:ARCELORMITTAL TB LORRAINE SAS - 0.0x419.0x1.4</t>
        </is>
      </c>
      <c r="E679" s="168" t="n">
        <v>0.05</v>
      </c>
      <c r="F679" s="168" t="n">
        <v>12</v>
      </c>
      <c r="G679" s="169" t="n">
        <v>30.81</v>
      </c>
    </row>
    <row r="680">
      <c r="C680" s="173" t="n"/>
      <c r="D680" s="174" t="inlineStr">
        <is>
          <t>8114953:GESTAMP NOURY S.A. - 0.0x157.3x1.8</t>
        </is>
      </c>
      <c r="E680" s="174" t="n">
        <v>0.09</v>
      </c>
      <c r="F680" s="174" t="n">
        <v>12.785</v>
      </c>
      <c r="G680" s="175" t="n">
        <v>19.84</v>
      </c>
    </row>
    <row r="684">
      <c r="C684" s="162" t="inlineStr">
        <is>
          <t xml:space="preserve">Details for : R6 serie - Postes Forecast W17 </t>
        </is>
      </c>
      <c r="D684" s="163" t="inlineStr">
        <is>
          <t>Article : Client - Length x Width x Thickness</t>
        </is>
      </c>
      <c r="E684" s="163" t="inlineStr">
        <is>
          <t>Postes</t>
        </is>
      </c>
      <c r="F684" s="163" t="inlineStr">
        <is>
          <t>Tonnes</t>
        </is>
      </c>
      <c r="G684" s="164" t="inlineStr">
        <is>
          <t>Productivity</t>
        </is>
      </c>
    </row>
    <row r="685">
      <c r="C685" s="165" t="inlineStr">
        <is>
          <t>Sum Tonnes : 342.29</t>
        </is>
      </c>
      <c r="D685" s="168" t="inlineStr">
        <is>
          <t>8105883:ArcelorMittal FRANCE - 0.0x879.0x1.0</t>
        </is>
      </c>
      <c r="E685" s="168" t="n">
        <v>0.34</v>
      </c>
      <c r="F685" s="168" t="n">
        <v>12.06</v>
      </c>
      <c r="G685" s="169" t="n">
        <v>4.7</v>
      </c>
    </row>
    <row r="686">
      <c r="C686" s="165" t="inlineStr">
        <is>
          <t>Sum Postes : 2.48</t>
        </is>
      </c>
      <c r="D686" s="168" t="inlineStr">
        <is>
          <t>8089319:ArcelorMittal FRANCE - 0.0x885.0x1.8</t>
        </is>
      </c>
      <c r="E686" s="168" t="n">
        <v>0.09</v>
      </c>
      <c r="F686" s="168" t="n">
        <v>19.484</v>
      </c>
      <c r="G686" s="169" t="n">
        <v>30.49</v>
      </c>
    </row>
    <row r="687">
      <c r="C687" s="165" t="inlineStr">
        <is>
          <t>Average Productivity : 18.4</t>
        </is>
      </c>
      <c r="D687" s="168" t="inlineStr">
        <is>
          <t>8012273:BAOMARC - 0.0x371.0x1.5</t>
        </is>
      </c>
      <c r="E687" s="168" t="n">
        <v>0.26</v>
      </c>
      <c r="F687" s="168" t="n">
        <v>48</v>
      </c>
      <c r="G687" s="169" t="n">
        <v>24.42</v>
      </c>
    </row>
    <row r="688">
      <c r="C688" s="172" t="n"/>
      <c r="D688" s="168" t="inlineStr">
        <is>
          <t>8011922:BAOMARC - 0.0x211.2x0.75</t>
        </is>
      </c>
      <c r="E688" s="168" t="n">
        <v>0.16</v>
      </c>
      <c r="F688" s="168" t="n">
        <v>12</v>
      </c>
      <c r="G688" s="169" t="n">
        <v>9.710000000000001</v>
      </c>
    </row>
    <row r="689">
      <c r="C689" s="172" t="n"/>
      <c r="D689" s="168" t="inlineStr">
        <is>
          <t>8013865:GESTAMP NOURY S.A. - 0.0x280.4x1.05</t>
        </is>
      </c>
      <c r="E689" s="168" t="n">
        <v>0.02</v>
      </c>
      <c r="F689" s="168" t="n">
        <v>3</v>
      </c>
      <c r="G689" s="169" t="n">
        <v>22.31</v>
      </c>
    </row>
    <row r="690">
      <c r="C690" s="172" t="n"/>
      <c r="D690" s="168" t="inlineStr">
        <is>
          <t>8012106:UNIPRES MAGNETTO CORPORATION - 0.0x950.0x1.4</t>
        </is>
      </c>
      <c r="E690" s="168" t="n">
        <v>0.09</v>
      </c>
      <c r="F690" s="168" t="n">
        <v>14</v>
      </c>
      <c r="G690" s="169" t="n">
        <v>21.27</v>
      </c>
    </row>
    <row r="691">
      <c r="C691" s="172" t="n"/>
      <c r="D691" s="168" t="inlineStr">
        <is>
          <t>8012107:UNIPRES MAGNETTO CORPORATION - 0.0x1054.0x1.6</t>
        </is>
      </c>
      <c r="E691" s="168" t="n">
        <v>0.09</v>
      </c>
      <c r="F691" s="168" t="n">
        <v>14</v>
      </c>
      <c r="G691" s="169" t="n">
        <v>20.76</v>
      </c>
    </row>
    <row r="692">
      <c r="C692" s="172" t="n"/>
      <c r="D692" s="168" t="inlineStr">
        <is>
          <t>8012110:UNIPRES MAGNETTO CORPORATION - 0.0x1080.0x1.8</t>
        </is>
      </c>
      <c r="E692" s="168" t="n">
        <v>0.08</v>
      </c>
      <c r="F692" s="168" t="n">
        <v>14</v>
      </c>
      <c r="G692" s="169" t="n">
        <v>24.74</v>
      </c>
    </row>
    <row r="693">
      <c r="C693" s="172" t="n"/>
      <c r="D693" s="168" t="inlineStr">
        <is>
          <t>8011893:EUROSTAMP S.A - 0.0x790.0x0.65</t>
        </is>
      </c>
      <c r="E693" s="168" t="n">
        <v>0.13</v>
      </c>
      <c r="F693" s="168" t="n">
        <v>12</v>
      </c>
      <c r="G693" s="169" t="n">
        <v>12.23</v>
      </c>
    </row>
    <row r="694">
      <c r="C694" s="172" t="n"/>
      <c r="D694" s="170" t="inlineStr">
        <is>
          <t>8013650:EUROSTAMP S.A - 0.0x480.0x2.2</t>
        </is>
      </c>
      <c r="E694" s="170" t="n">
        <v>0.26</v>
      </c>
      <c r="F694" s="170" t="n">
        <v>54</v>
      </c>
      <c r="G694" s="171" t="n">
        <v>27.69</v>
      </c>
    </row>
    <row r="695">
      <c r="C695" s="172" t="n"/>
      <c r="D695" s="168" t="inlineStr">
        <is>
          <t>8014244:SNOP VILLEPINTE - 0.0x207.8x1.15</t>
        </is>
      </c>
      <c r="E695" s="168" t="n">
        <v>0.14</v>
      </c>
      <c r="F695" s="168" t="n">
        <v>21.7</v>
      </c>
      <c r="G695" s="169" t="n">
        <v>20.85</v>
      </c>
    </row>
    <row r="696">
      <c r="C696" s="172" t="n"/>
      <c r="D696" s="168" t="inlineStr">
        <is>
          <t>8012383:WAGON AUTOMOTIVE - 0.0x650.0x0.75</t>
        </is>
      </c>
      <c r="E696" s="168" t="n">
        <v>0.13</v>
      </c>
      <c r="F696" s="168" t="n">
        <v>20</v>
      </c>
      <c r="G696" s="169" t="n">
        <v>20.81</v>
      </c>
    </row>
    <row r="697">
      <c r="C697" s="172" t="n"/>
      <c r="D697" s="168" t="inlineStr">
        <is>
          <t>8013889:GESTAMP NOURY S.A. - 0.0x226.5x1.6</t>
        </is>
      </c>
      <c r="E697" s="168" t="n">
        <v>0.07000000000000001</v>
      </c>
      <c r="F697" s="168" t="n">
        <v>12</v>
      </c>
      <c r="G697" s="169" t="n">
        <v>22.87</v>
      </c>
    </row>
    <row r="698">
      <c r="C698" s="172" t="n"/>
      <c r="D698" s="168" t="inlineStr">
        <is>
          <t>8014863:UNIPRES MAGNETTO CORPORATION - 0.0x1600.0x1.2</t>
        </is>
      </c>
      <c r="E698" s="168" t="n">
        <v>0.05</v>
      </c>
      <c r="F698" s="168" t="n">
        <v>10</v>
      </c>
      <c r="G698" s="169" t="n">
        <v>25</v>
      </c>
    </row>
    <row r="699">
      <c r="C699" s="172" t="n"/>
      <c r="D699" s="168" t="inlineStr">
        <is>
          <t>8014734:UNIPRES MAGNETTO CORPORATION - 0.0x755.0x2.2</t>
        </is>
      </c>
      <c r="E699" s="168" t="n">
        <v>0.08</v>
      </c>
      <c r="F699" s="168" t="n">
        <v>10</v>
      </c>
      <c r="G699" s="169" t="n">
        <v>15.94</v>
      </c>
    </row>
    <row r="700">
      <c r="C700" s="172" t="n"/>
      <c r="D700" s="168" t="inlineStr">
        <is>
          <t>8023002:BAOMARC - 0.0x205.8x1.2</t>
        </is>
      </c>
      <c r="E700" s="168" t="n">
        <v>0.17</v>
      </c>
      <c r="F700" s="168" t="n">
        <v>25</v>
      </c>
      <c r="G700" s="169" t="n">
        <v>19.08</v>
      </c>
    </row>
    <row r="701">
      <c r="C701" s="172" t="n"/>
      <c r="D701" s="168" t="inlineStr">
        <is>
          <t>8014842:MAGNA LORRAINE - 0.0x178.0x1.35</t>
        </is>
      </c>
      <c r="E701" s="168" t="n">
        <v>0.06</v>
      </c>
      <c r="F701" s="168" t="n">
        <v>9</v>
      </c>
      <c r="G701" s="169" t="n">
        <v>20.46</v>
      </c>
    </row>
    <row r="702">
      <c r="C702" s="172" t="n"/>
      <c r="D702" s="168" t="inlineStr">
        <is>
          <t>8012371:MAGNA LORRAINE - 0.0x283.0x1.05</t>
        </is>
      </c>
      <c r="E702" s="168" t="n">
        <v>0.05</v>
      </c>
      <c r="F702" s="168" t="n">
        <v>9</v>
      </c>
      <c r="G702" s="169" t="n">
        <v>22.61</v>
      </c>
    </row>
    <row r="703">
      <c r="C703" s="172" t="n"/>
      <c r="D703" s="168" t="inlineStr">
        <is>
          <t>8058636:MAGNA LORRAINE - 0.0x510.0x0.6</t>
        </is>
      </c>
      <c r="E703" s="168" t="n">
        <v>0.04</v>
      </c>
      <c r="F703" s="168" t="n">
        <v>2</v>
      </c>
      <c r="G703" s="169" t="n">
        <v>6.29</v>
      </c>
    </row>
    <row r="704">
      <c r="C704" s="172" t="n"/>
      <c r="D704" s="168" t="inlineStr">
        <is>
          <t>8068165:MAGNA LORRAINE - 0.0x815.0x0.6</t>
        </is>
      </c>
      <c r="E704" s="168" t="n">
        <v>0.06</v>
      </c>
      <c r="F704" s="168" t="n">
        <v>6</v>
      </c>
      <c r="G704" s="169" t="n">
        <v>14.31</v>
      </c>
    </row>
    <row r="705">
      <c r="C705" s="172" t="n"/>
      <c r="D705" s="166" t="inlineStr">
        <is>
          <t>8055856:NPL SASU - 0.0x130.0x2.0</t>
        </is>
      </c>
      <c r="E705" s="166" t="n">
        <v>0.01</v>
      </c>
      <c r="F705" s="166" t="n">
        <v>1.043</v>
      </c>
      <c r="G705" s="167" t="n">
        <v>10.33</v>
      </c>
    </row>
    <row r="706">
      <c r="C706" s="172" t="n"/>
      <c r="D706" s="168" t="inlineStr">
        <is>
          <t>8083083:RENAULT S.A.S - 0.0x725.0x0.65</t>
        </is>
      </c>
      <c r="E706" s="168" t="n">
        <v>0.04</v>
      </c>
      <c r="F706" s="168" t="n">
        <v>8</v>
      </c>
      <c r="G706" s="169" t="n">
        <v>24.3</v>
      </c>
    </row>
    <row r="707">
      <c r="C707" s="173" t="n"/>
      <c r="D707" s="174" t="inlineStr">
        <is>
          <t>8091293:MAGNA LORRAINE - 0.0x710.0x0.95</t>
        </is>
      </c>
      <c r="E707" s="174" t="n">
        <v>0.06</v>
      </c>
      <c r="F707" s="174" t="n">
        <v>6</v>
      </c>
      <c r="G707" s="175" t="n">
        <v>13.51</v>
      </c>
    </row>
    <row r="711">
      <c r="C711" s="162" t="inlineStr">
        <is>
          <t xml:space="preserve">Details for : R6 serie - Postes Forecast W18 </t>
        </is>
      </c>
      <c r="D711" s="163" t="inlineStr">
        <is>
          <t>Article : Client - Length x Width x Thickness</t>
        </is>
      </c>
      <c r="E711" s="163" t="inlineStr">
        <is>
          <t>Postes</t>
        </is>
      </c>
      <c r="F711" s="163" t="inlineStr">
        <is>
          <t>Tonnes</t>
        </is>
      </c>
      <c r="G711" s="164" t="inlineStr">
        <is>
          <t>Productivity</t>
        </is>
      </c>
    </row>
    <row r="712">
      <c r="C712" s="165" t="inlineStr">
        <is>
          <t>Sum Tonnes : 291.33</t>
        </is>
      </c>
      <c r="D712" s="168" t="inlineStr">
        <is>
          <t>8051832:BAOMARC - 0.0x364.6x2.0</t>
        </is>
      </c>
      <c r="E712" s="168" t="n">
        <v>0.06</v>
      </c>
      <c r="F712" s="168" t="n">
        <v>8</v>
      </c>
      <c r="G712" s="169" t="n">
        <v>16.7</v>
      </c>
    </row>
    <row r="713">
      <c r="C713" s="165" t="inlineStr">
        <is>
          <t>Sum Postes : 2.03</t>
        </is>
      </c>
      <c r="D713" s="168" t="inlineStr">
        <is>
          <t>8012271:BAOMARC - 0.0x177.7x0.8</t>
        </is>
      </c>
      <c r="E713" s="168" t="n">
        <v>0.1</v>
      </c>
      <c r="F713" s="168" t="n">
        <v>12</v>
      </c>
      <c r="G713" s="169" t="n">
        <v>15.66</v>
      </c>
    </row>
    <row r="714">
      <c r="C714" s="165" t="inlineStr">
        <is>
          <t>Average Productivity : 19.13</t>
        </is>
      </c>
      <c r="D714" s="168" t="inlineStr">
        <is>
          <t>8011853:BAOMARC - 0.0x252.0x1.2</t>
        </is>
      </c>
      <c r="E714" s="168" t="n">
        <v>0.06</v>
      </c>
      <c r="F714" s="168" t="n">
        <v>12</v>
      </c>
      <c r="G714" s="169" t="n">
        <v>26.55</v>
      </c>
    </row>
    <row r="715">
      <c r="C715" s="172" t="n"/>
      <c r="D715" s="170" t="inlineStr">
        <is>
          <t>8011924:BAOMARC - 0.0x497.8x1.5</t>
        </is>
      </c>
      <c r="E715" s="170" t="n">
        <v>0.31</v>
      </c>
      <c r="F715" s="170" t="n">
        <v>50</v>
      </c>
      <c r="G715" s="171" t="n">
        <v>21.48</v>
      </c>
    </row>
    <row r="716">
      <c r="C716" s="172" t="n"/>
      <c r="D716" s="168" t="inlineStr">
        <is>
          <t>8011972:TRICO BELGIUM SA - 0.0x270.0x2.0</t>
        </is>
      </c>
      <c r="E716" s="168" t="n">
        <v>0.25</v>
      </c>
      <c r="F716" s="168" t="n">
        <v>25</v>
      </c>
      <c r="G716" s="169" t="n">
        <v>13.1</v>
      </c>
    </row>
    <row r="717">
      <c r="C717" s="172" t="n"/>
      <c r="D717" s="168" t="inlineStr">
        <is>
          <t>8012107:UNIPRES MAGNETTO CORPORATION - 0.0x1054.0x1.6</t>
        </is>
      </c>
      <c r="E717" s="168" t="n">
        <v>0.18</v>
      </c>
      <c r="F717" s="168" t="n">
        <v>28</v>
      </c>
      <c r="G717" s="169" t="n">
        <v>20.76</v>
      </c>
    </row>
    <row r="718">
      <c r="C718" s="172" t="n"/>
      <c r="D718" s="168" t="inlineStr">
        <is>
          <t>8012111:UNIPRES MAGNETTO CORPORATION - 0.0x1243.0x1.0</t>
        </is>
      </c>
      <c r="E718" s="168" t="n">
        <v>0.09</v>
      </c>
      <c r="F718" s="168" t="n">
        <v>14</v>
      </c>
      <c r="G718" s="169" t="n">
        <v>19.85</v>
      </c>
    </row>
    <row r="719">
      <c r="C719" s="172" t="n"/>
      <c r="D719" s="168" t="inlineStr">
        <is>
          <t>8012114:UNIPRES MAGNETTO CORPORATION - 0.0x1500.0x1.2</t>
        </is>
      </c>
      <c r="E719" s="168" t="n">
        <v>0.07000000000000001</v>
      </c>
      <c r="F719" s="168" t="n">
        <v>12.5</v>
      </c>
      <c r="G719" s="169" t="n">
        <v>22.64</v>
      </c>
    </row>
    <row r="720">
      <c r="C720" s="172" t="n"/>
      <c r="D720" s="168" t="inlineStr">
        <is>
          <t>8014244:SNOP VILLEPINTE - 0.0x207.8x1.15</t>
        </is>
      </c>
      <c r="E720" s="168" t="n">
        <v>0.12</v>
      </c>
      <c r="F720" s="168" t="n">
        <v>18.6</v>
      </c>
      <c r="G720" s="169" t="n">
        <v>20.85</v>
      </c>
    </row>
    <row r="721">
      <c r="C721" s="172" t="n"/>
      <c r="D721" s="168" t="inlineStr">
        <is>
          <t>8014336:SNOP VILLEPINTE - 0.0x106.8x1.05</t>
        </is>
      </c>
      <c r="E721" s="168" t="n">
        <v>0.03</v>
      </c>
      <c r="F721" s="168" t="n">
        <v>3.4</v>
      </c>
      <c r="G721" s="169" t="n">
        <v>16.72</v>
      </c>
    </row>
    <row r="722">
      <c r="C722" s="172" t="n"/>
      <c r="D722" s="168" t="inlineStr">
        <is>
          <t>8013889:GESTAMP NOURY S.A. - 0.0x226.5x1.6</t>
        </is>
      </c>
      <c r="E722" s="168" t="n">
        <v>0.12</v>
      </c>
      <c r="F722" s="168" t="n">
        <v>21</v>
      </c>
      <c r="G722" s="169" t="n">
        <v>22.87</v>
      </c>
    </row>
    <row r="723">
      <c r="C723" s="172" t="n"/>
      <c r="D723" s="168" t="inlineStr">
        <is>
          <t>8014863:UNIPRES MAGNETTO CORPORATION - 0.0x1600.0x1.2</t>
        </is>
      </c>
      <c r="E723" s="168" t="n">
        <v>0.05</v>
      </c>
      <c r="F723" s="168" t="n">
        <v>10</v>
      </c>
      <c r="G723" s="169" t="n">
        <v>25</v>
      </c>
    </row>
    <row r="724">
      <c r="C724" s="172" t="n"/>
      <c r="D724" s="168" t="inlineStr">
        <is>
          <t>8014842:MAGNA LORRAINE - 0.0x178.0x1.35</t>
        </is>
      </c>
      <c r="E724" s="168" t="n">
        <v>0.05</v>
      </c>
      <c r="F724" s="168" t="n">
        <v>8</v>
      </c>
      <c r="G724" s="169" t="n">
        <v>20.46</v>
      </c>
    </row>
    <row r="725">
      <c r="C725" s="172" t="n"/>
      <c r="D725" s="168" t="inlineStr">
        <is>
          <t>8012371:MAGNA LORRAINE - 0.0x283.0x1.05</t>
        </is>
      </c>
      <c r="E725" s="168" t="n">
        <v>0.05</v>
      </c>
      <c r="F725" s="168" t="n">
        <v>8</v>
      </c>
      <c r="G725" s="169" t="n">
        <v>22.61</v>
      </c>
    </row>
    <row r="726">
      <c r="C726" s="172" t="n"/>
      <c r="D726" s="168" t="inlineStr">
        <is>
          <t>8058635:MAGNA LORRAINE - 0.0x690.0x1.15</t>
        </is>
      </c>
      <c r="E726" s="168" t="n">
        <v>0.11</v>
      </c>
      <c r="F726" s="168" t="n">
        <v>20</v>
      </c>
      <c r="G726" s="169" t="n">
        <v>25.21</v>
      </c>
    </row>
    <row r="727">
      <c r="C727" s="172" t="n"/>
      <c r="D727" s="168" t="inlineStr">
        <is>
          <t>8086194:MA POLSKA - 0.0x184.3x1.6</t>
        </is>
      </c>
      <c r="E727" s="168" t="n">
        <v>0.13</v>
      </c>
      <c r="F727" s="168" t="n">
        <v>10</v>
      </c>
      <c r="G727" s="169" t="n">
        <v>10.39</v>
      </c>
    </row>
    <row r="728">
      <c r="C728" s="172" t="n"/>
      <c r="D728" s="168" t="inlineStr">
        <is>
          <t>8086196:MA POLSKA - 0.0x227.5x1.6</t>
        </is>
      </c>
      <c r="E728" s="168" t="n">
        <v>0.08</v>
      </c>
      <c r="F728" s="168" t="n">
        <v>10</v>
      </c>
      <c r="G728" s="169" t="n">
        <v>16.98</v>
      </c>
    </row>
    <row r="729">
      <c r="C729" s="172" t="n"/>
      <c r="D729" s="168" t="inlineStr">
        <is>
          <t>8088356:RENAULT S.A.S - 0.0x390.0x0.65</t>
        </is>
      </c>
      <c r="E729" s="168" t="n">
        <v>0.06</v>
      </c>
      <c r="F729" s="168" t="n">
        <v>6</v>
      </c>
      <c r="G729" s="169" t="n">
        <v>13.24</v>
      </c>
    </row>
    <row r="730">
      <c r="C730" s="172" t="n"/>
      <c r="D730" s="166" t="inlineStr">
        <is>
          <t>8091293:MAGNA LORRAINE - 0.0x710.0x0.95</t>
        </is>
      </c>
      <c r="E730" s="166" t="n">
        <v>0.03</v>
      </c>
      <c r="F730" s="166" t="n">
        <v>3</v>
      </c>
      <c r="G730" s="167" t="n">
        <v>13.51</v>
      </c>
    </row>
    <row r="731">
      <c r="C731" s="173" t="n"/>
      <c r="D731" s="174" t="inlineStr">
        <is>
          <t>8114953:GESTAMP NOURY S.A. - 0.0x157.3x1.8</t>
        </is>
      </c>
      <c r="E731" s="174" t="n">
        <v>0.08</v>
      </c>
      <c r="F731" s="174" t="n">
        <v>11.826</v>
      </c>
      <c r="G731" s="175" t="n">
        <v>19.84</v>
      </c>
    </row>
    <row r="735">
      <c r="C735" s="162" t="inlineStr">
        <is>
          <t xml:space="preserve">Details for : R6 serie - Postes Forecast W19 </t>
        </is>
      </c>
      <c r="D735" s="163" t="inlineStr">
        <is>
          <t>Article : Client - Length x Width x Thickness</t>
        </is>
      </c>
      <c r="E735" s="163" t="inlineStr">
        <is>
          <t>Postes</t>
        </is>
      </c>
      <c r="F735" s="163" t="inlineStr">
        <is>
          <t>Tonnes</t>
        </is>
      </c>
      <c r="G735" s="164" t="inlineStr">
        <is>
          <t>Productivity</t>
        </is>
      </c>
    </row>
    <row r="736">
      <c r="C736" s="165" t="inlineStr">
        <is>
          <t>Sum Tonnes : 393.74</t>
        </is>
      </c>
      <c r="D736" s="168" t="inlineStr">
        <is>
          <t>8012274:BAOMARC - 0.0x286.7x1.5</t>
        </is>
      </c>
      <c r="E736" s="168" t="n">
        <v>0.26</v>
      </c>
      <c r="F736" s="168" t="n">
        <v>48</v>
      </c>
      <c r="G736" s="169" t="n">
        <v>25</v>
      </c>
    </row>
    <row r="737">
      <c r="C737" s="165" t="inlineStr">
        <is>
          <t>Sum Postes : 2.38</t>
        </is>
      </c>
      <c r="D737" s="168" t="inlineStr">
        <is>
          <t>8011863:BAOMARC - 0.0x276.5x1.5</t>
        </is>
      </c>
      <c r="E737" s="168" t="n">
        <v>0.08</v>
      </c>
      <c r="F737" s="168" t="n">
        <v>24</v>
      </c>
      <c r="G737" s="169" t="n">
        <v>37.93</v>
      </c>
    </row>
    <row r="738">
      <c r="C738" s="165" t="inlineStr">
        <is>
          <t>Average Productivity : 22.06</t>
        </is>
      </c>
      <c r="D738" s="168" t="inlineStr">
        <is>
          <t>8013865:GESTAMP NOURY S.A. - 0.0x280.4x1.05</t>
        </is>
      </c>
      <c r="E738" s="168" t="n">
        <v>0.25</v>
      </c>
      <c r="F738" s="168" t="n">
        <v>42</v>
      </c>
      <c r="G738" s="169" t="n">
        <v>22.31</v>
      </c>
    </row>
    <row r="739">
      <c r="C739" s="172" t="n"/>
      <c r="D739" s="168" t="inlineStr">
        <is>
          <t>8012088:UNIPRES MAGNETTO CORPORATION - 0.0x707.0x1.8</t>
        </is>
      </c>
      <c r="E739" s="168" t="n">
        <v>0.04</v>
      </c>
      <c r="F739" s="168" t="n">
        <v>10</v>
      </c>
      <c r="G739" s="169" t="n">
        <v>29.93</v>
      </c>
    </row>
    <row r="740">
      <c r="C740" s="172" t="n"/>
      <c r="D740" s="168" t="inlineStr">
        <is>
          <t>8012089:UNIPRES MAGNETTO CORPORATION - 0.0x663.0x1.8</t>
        </is>
      </c>
      <c r="E740" s="168" t="n">
        <v>0.07000000000000001</v>
      </c>
      <c r="F740" s="168" t="n">
        <v>14</v>
      </c>
      <c r="G740" s="169" t="n">
        <v>26.63</v>
      </c>
    </row>
    <row r="741">
      <c r="C741" s="172" t="n"/>
      <c r="D741" s="168" t="inlineStr">
        <is>
          <t>8012107:UNIPRES MAGNETTO CORPORATION - 0.0x1054.0x1.6</t>
        </is>
      </c>
      <c r="E741" s="168" t="n">
        <v>0.09</v>
      </c>
      <c r="F741" s="168" t="n">
        <v>14</v>
      </c>
      <c r="G741" s="169" t="n">
        <v>20.76</v>
      </c>
    </row>
    <row r="742">
      <c r="C742" s="172" t="n"/>
      <c r="D742" s="168" t="inlineStr">
        <is>
          <t>8012108:UNIPRES MAGNETTO CORPORATION - 0.0x850.0x1.4</t>
        </is>
      </c>
      <c r="E742" s="168" t="n">
        <v>0.12</v>
      </c>
      <c r="F742" s="168" t="n">
        <v>14</v>
      </c>
      <c r="G742" s="169" t="n">
        <v>15.61</v>
      </c>
    </row>
    <row r="743">
      <c r="C743" s="172" t="n"/>
      <c r="D743" s="168" t="inlineStr">
        <is>
          <t>8012110:UNIPRES MAGNETTO CORPORATION - 0.0x1080.0x1.8</t>
        </is>
      </c>
      <c r="E743" s="168" t="n">
        <v>0.08</v>
      </c>
      <c r="F743" s="168" t="n">
        <v>14</v>
      </c>
      <c r="G743" s="169" t="n">
        <v>24.74</v>
      </c>
    </row>
    <row r="744">
      <c r="C744" s="172" t="n"/>
      <c r="D744" s="168" t="inlineStr">
        <is>
          <t>8012112:UNIPRES MAGNETTO CORPORATION - 0.0x969.0x1.2</t>
        </is>
      </c>
      <c r="E744" s="168" t="n">
        <v>0.08</v>
      </c>
      <c r="F744" s="168" t="n">
        <v>14</v>
      </c>
      <c r="G744" s="169" t="n">
        <v>23.13</v>
      </c>
    </row>
    <row r="745">
      <c r="C745" s="172" t="n"/>
      <c r="D745" s="168" t="inlineStr">
        <is>
          <t>8012114:UNIPRES MAGNETTO CORPORATION - 0.0x1500.0x1.2</t>
        </is>
      </c>
      <c r="E745" s="168" t="n">
        <v>0.07000000000000001</v>
      </c>
      <c r="F745" s="168" t="n">
        <v>12.5</v>
      </c>
      <c r="G745" s="169" t="n">
        <v>22.64</v>
      </c>
    </row>
    <row r="746">
      <c r="C746" s="172" t="n"/>
      <c r="D746" s="170" t="inlineStr">
        <is>
          <t>8013650:EUROSTAMP S.A - 0.0x480.0x2.2</t>
        </is>
      </c>
      <c r="E746" s="170" t="n">
        <v>0.26</v>
      </c>
      <c r="F746" s="170" t="n">
        <v>54</v>
      </c>
      <c r="G746" s="171" t="n">
        <v>27.69</v>
      </c>
    </row>
    <row r="747">
      <c r="C747" s="172" t="n"/>
      <c r="D747" s="168" t="inlineStr">
        <is>
          <t>8013920:MAGNA LORRAINE - 0.0x450.0x1.3</t>
        </is>
      </c>
      <c r="E747" s="168" t="n">
        <v>0.04</v>
      </c>
      <c r="F747" s="168" t="n">
        <v>8</v>
      </c>
      <c r="G747" s="169" t="n">
        <v>24.71</v>
      </c>
    </row>
    <row r="748">
      <c r="C748" s="172" t="n"/>
      <c r="D748" s="168" t="inlineStr">
        <is>
          <t>8014246:SNOP VILLEPINTE - 0.0x65.5x1.5</t>
        </is>
      </c>
      <c r="E748" s="168" t="n">
        <v>0.02</v>
      </c>
      <c r="F748" s="168" t="n">
        <v>2.5</v>
      </c>
      <c r="G748" s="169" t="n">
        <v>16.79</v>
      </c>
    </row>
    <row r="749">
      <c r="C749" s="172" t="n"/>
      <c r="D749" s="168" t="inlineStr">
        <is>
          <t>8012383:WAGON AUTOMOTIVE - 0.0x650.0x0.75</t>
        </is>
      </c>
      <c r="E749" s="168" t="n">
        <v>0.13</v>
      </c>
      <c r="F749" s="168" t="n">
        <v>20</v>
      </c>
      <c r="G749" s="169" t="n">
        <v>20.81</v>
      </c>
    </row>
    <row r="750">
      <c r="C750" s="172" t="n"/>
      <c r="D750" s="168" t="inlineStr">
        <is>
          <t>8015927:TRICO BELGIUM SA - 0.0x332.0x2.0</t>
        </is>
      </c>
      <c r="E750" s="168" t="n">
        <v>0.23</v>
      </c>
      <c r="F750" s="168" t="n">
        <v>25</v>
      </c>
      <c r="G750" s="169" t="n">
        <v>14.7</v>
      </c>
    </row>
    <row r="751">
      <c r="C751" s="172" t="n"/>
      <c r="D751" s="168" t="inlineStr">
        <is>
          <t>8022750:ARCELORMITTAL TB LORRAINE SAS - 0.0x521.0x1.6</t>
        </is>
      </c>
      <c r="E751" s="168" t="n">
        <v>0.12</v>
      </c>
      <c r="F751" s="168" t="n">
        <v>20</v>
      </c>
      <c r="G751" s="169" t="n">
        <v>22.46</v>
      </c>
    </row>
    <row r="752">
      <c r="C752" s="172" t="n"/>
      <c r="D752" s="168" t="inlineStr">
        <is>
          <t>8014842:MAGNA LORRAINE - 0.0x178.0x1.35</t>
        </is>
      </c>
      <c r="E752" s="168" t="n">
        <v>0.06</v>
      </c>
      <c r="F752" s="168" t="n">
        <v>9</v>
      </c>
      <c r="G752" s="169" t="n">
        <v>20.46</v>
      </c>
    </row>
    <row r="753">
      <c r="C753" s="172" t="n"/>
      <c r="D753" s="168" t="inlineStr">
        <is>
          <t>8012371:MAGNA LORRAINE - 0.0x283.0x1.05</t>
        </is>
      </c>
      <c r="E753" s="168" t="n">
        <v>0.08</v>
      </c>
      <c r="F753" s="168" t="n">
        <v>13</v>
      </c>
      <c r="G753" s="169" t="n">
        <v>22.61</v>
      </c>
    </row>
    <row r="754">
      <c r="C754" s="172" t="n"/>
      <c r="D754" s="166" t="inlineStr">
        <is>
          <t>8055856:NPL SASU - 0.0x130.0x2.0</t>
        </is>
      </c>
      <c r="E754" s="166" t="n">
        <v>0.02</v>
      </c>
      <c r="F754" s="166" t="n">
        <v>1.739</v>
      </c>
      <c r="G754" s="167" t="n">
        <v>10.33</v>
      </c>
    </row>
    <row r="755">
      <c r="C755" s="172" t="n"/>
      <c r="D755" s="168" t="inlineStr">
        <is>
          <t>8083083:RENAULT S.A.S - 0.0x725.0x0.65</t>
        </is>
      </c>
      <c r="E755" s="168" t="n">
        <v>0.04</v>
      </c>
      <c r="F755" s="168" t="n">
        <v>8</v>
      </c>
      <c r="G755" s="169" t="n">
        <v>24.3</v>
      </c>
    </row>
    <row r="756">
      <c r="C756" s="172" t="n"/>
      <c r="D756" s="168" t="inlineStr">
        <is>
          <t>8086196:MA POLSKA - 0.0x227.5x1.6</t>
        </is>
      </c>
      <c r="E756" s="168" t="n">
        <v>0.16</v>
      </c>
      <c r="F756" s="168" t="n">
        <v>20</v>
      </c>
      <c r="G756" s="169" t="n">
        <v>16.98</v>
      </c>
    </row>
    <row r="757">
      <c r="C757" s="173" t="n"/>
      <c r="D757" s="174" t="inlineStr">
        <is>
          <t>8088347:RENAULT S.A.S - 0.0x505.0x2.0</t>
        </is>
      </c>
      <c r="E757" s="174" t="n">
        <v>0.08</v>
      </c>
      <c r="F757" s="174" t="n">
        <v>6</v>
      </c>
      <c r="G757" s="175" t="n">
        <v>9.6</v>
      </c>
    </row>
    <row r="761">
      <c r="C761" s="162" t="inlineStr">
        <is>
          <t xml:space="preserve">Details for : R6 proto - Postes Forecast W17 </t>
        </is>
      </c>
      <c r="D761" s="163" t="inlineStr">
        <is>
          <t>Article : Client - Length x Width x Thickness</t>
        </is>
      </c>
      <c r="E761" s="163" t="inlineStr">
        <is>
          <t>Postes</t>
        </is>
      </c>
      <c r="F761" s="163" t="inlineStr">
        <is>
          <t>Tonnes</t>
        </is>
      </c>
      <c r="G761" s="164" t="inlineStr">
        <is>
          <t>Productivity</t>
        </is>
      </c>
    </row>
    <row r="762">
      <c r="C762" s="165" t="inlineStr">
        <is>
          <t>Sum Tonnes : 53.78</t>
        </is>
      </c>
      <c r="D762" s="166" t="inlineStr">
        <is>
          <t>8113255:ARCELORMITTAL PROTO FLORANGE - 0.0x1395.0x0.72</t>
        </is>
      </c>
      <c r="E762" s="166" t="n">
        <v>0.24</v>
      </c>
      <c r="F762" s="166" t="n">
        <v>6</v>
      </c>
      <c r="G762" s="167" t="n">
        <v>3.33</v>
      </c>
    </row>
    <row r="763">
      <c r="C763" s="165" t="inlineStr">
        <is>
          <t>Sum Postes : 2.0</t>
        </is>
      </c>
      <c r="D763" s="168" t="inlineStr">
        <is>
          <t>8115265:ARCELORMITTAL PROTO FLORANGE - 0.0x1110.0x1.15</t>
        </is>
      </c>
      <c r="E763" s="168" t="n">
        <v>0.28</v>
      </c>
      <c r="F763" s="168" t="n">
        <v>7</v>
      </c>
      <c r="G763" s="169" t="n">
        <v>3.33</v>
      </c>
    </row>
    <row r="764">
      <c r="C764" s="165" t="inlineStr">
        <is>
          <t>Average Productivity : 3.59</t>
        </is>
      </c>
      <c r="D764" s="168" t="inlineStr">
        <is>
          <t>8118697:GESTAMP LE THEIL - 0.0x960.0x1.5</t>
        </is>
      </c>
      <c r="E764" s="168" t="n">
        <v>0.14</v>
      </c>
      <c r="F764" s="168" t="n">
        <v>6.3</v>
      </c>
      <c r="G764" s="169" t="n">
        <v>5.82</v>
      </c>
    </row>
    <row r="765">
      <c r="C765" s="172" t="n"/>
      <c r="D765" s="170" t="inlineStr">
        <is>
          <t>8117794:ARCELORMITTAL PROTO FLORANGE - 0.0x213.0x1.5</t>
        </is>
      </c>
      <c r="E765" s="170" t="n">
        <v>0.7</v>
      </c>
      <c r="F765" s="170" t="n">
        <v>17.424</v>
      </c>
      <c r="G765" s="171" t="n">
        <v>3.33</v>
      </c>
    </row>
    <row r="766">
      <c r="C766" s="172" t="n"/>
      <c r="D766" s="168" t="inlineStr">
        <is>
          <t>8117751:ARCELORMITTAL PROTO FLORANGE - 0.0x654.0x1.2</t>
        </is>
      </c>
      <c r="E766" s="168" t="n">
        <v>0.35</v>
      </c>
      <c r="F766" s="168" t="n">
        <v>8.73</v>
      </c>
      <c r="G766" s="169" t="n">
        <v>3.33</v>
      </c>
    </row>
    <row r="767">
      <c r="C767" s="173" t="n"/>
      <c r="D767" s="174" t="inlineStr">
        <is>
          <t>8117753:ARCELORMITTAL PROTO FLORANGE - 0.0x295.0x2.0</t>
        </is>
      </c>
      <c r="E767" s="174" t="n">
        <v>0.29</v>
      </c>
      <c r="F767" s="174" t="n">
        <v>8.324999999999999</v>
      </c>
      <c r="G767" s="175" t="n">
        <v>3.86</v>
      </c>
    </row>
    <row r="771">
      <c r="C771" s="162" t="inlineStr">
        <is>
          <t xml:space="preserve">Details for : R6 proto - Postes Forecast W18 </t>
        </is>
      </c>
      <c r="D771" s="163" t="inlineStr">
        <is>
          <t>Article : Client - Length x Width x Thickness</t>
        </is>
      </c>
      <c r="E771" s="163" t="inlineStr">
        <is>
          <t>Postes</t>
        </is>
      </c>
      <c r="F771" s="163" t="inlineStr">
        <is>
          <t>Tonnes</t>
        </is>
      </c>
      <c r="G771" s="164" t="inlineStr">
        <is>
          <t>Productivity</t>
        </is>
      </c>
    </row>
    <row r="772">
      <c r="C772" s="165" t="inlineStr">
        <is>
          <t>Sum Tonnes : 6.5</t>
        </is>
      </c>
      <c r="D772" s="170" t="inlineStr">
        <is>
          <t>8118517:ARCELORMITTAL PROTO FLORANGE - 0.0x1572.0x0.54</t>
        </is>
      </c>
      <c r="E772" s="170" t="n">
        <v>0.26</v>
      </c>
      <c r="F772" s="170" t="n">
        <v>6.5</v>
      </c>
      <c r="G772" s="171" t="n">
        <v>3.33</v>
      </c>
    </row>
    <row r="773">
      <c r="C773" s="165" t="inlineStr">
        <is>
          <t>Sum Postes : 0.26</t>
        </is>
      </c>
      <c r="D773" s="168" t="n"/>
      <c r="E773" s="168" t="n"/>
      <c r="F773" s="168" t="n"/>
      <c r="G773" s="169" t="n"/>
    </row>
    <row r="774">
      <c r="C774" s="176" t="inlineStr">
        <is>
          <t>Average Productivity : 3.33</t>
        </is>
      </c>
      <c r="D774" s="174" t="n"/>
      <c r="E774" s="174" t="n"/>
      <c r="F774" s="174" t="n"/>
      <c r="G774" s="175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Feuil3">
    <outlinePr summaryBelow="1" summaryRight="1"/>
    <pageSetUpPr/>
  </sheetPr>
  <dimension ref="A1:A1"/>
  <sheetViews>
    <sheetView workbookViewId="0">
      <selection activeCell="C6" sqref="C6"/>
    </sheetView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2026-01-14T15:25:45Z</dcterms:created>
  <dcterms:modified xmlns:dcterms="http://purl.org/dc/terms/" xmlns:xsi="http://www.w3.org/2001/XMLSchema-instance" xsi:type="dcterms:W3CDTF">2026-04-10T07:41:56Z</dcterms:modified>
  <cp:lastModifiedBy>Rafael Dye</cp:lastModifiedBy>
</cp:coreProperties>
</file>