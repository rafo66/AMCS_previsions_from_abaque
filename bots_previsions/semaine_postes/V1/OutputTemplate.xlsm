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23256" windowHeight="12456" tabRatio="243" firstSheet="0" activeTab="0" autoFilterDateGrouping="1"/>
  </bookViews>
  <sheets>
    <sheet xmlns:r="http://schemas.openxmlformats.org/officeDocument/2006/relationships" name="Resultats" sheetId="1" state="visible" r:id="rId1"/>
    <sheet xmlns:r="http://schemas.openxmlformats.org/officeDocument/2006/relationships" name="Details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rgb="FFFFFFFF"/>
      <sz val="11"/>
      <scheme val="minor"/>
    </font>
    <font>
      <name val="Calibri"/>
      <color rgb="FF000000"/>
      <sz val="11"/>
    </font>
    <font>
      <name val="Calibri"/>
      <b val="1"/>
      <sz val="11"/>
    </font>
    <font>
      <color rgb="00000000"/>
    </font>
    <font>
      <b val="1"/>
    </font>
  </fonts>
  <fills count="18">
    <fill>
      <patternFill/>
    </fill>
    <fill>
      <patternFill patternType="gray125"/>
    </fill>
    <fill>
      <patternFill patternType="solid">
        <fgColor theme="5" tint="0.3999755851924192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9E1F2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00D9E1F2"/>
      </patternFill>
    </fill>
    <fill>
      <patternFill patternType="solid">
        <fgColor rgb="00F2F2F2"/>
      </patternFill>
    </fill>
    <fill>
      <patternFill patternType="solid">
        <fgColor rgb="00C6EFCE"/>
      </patternFill>
    </fill>
    <fill>
      <patternFill patternType="solid">
        <fgColor rgb="00FFC7CE"/>
      </patternFill>
    </fill>
  </fills>
  <borders count="4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/>
      <right style="thin"/>
      <top style="thin"/>
      <bottom style="thin"/>
    </border>
    <border>
      <left style="medium"/>
      <right style="thin"/>
      <top style="medium"/>
    </border>
    <border>
      <left style="medium"/>
      <right style="thin"/>
      <bottom style="medium"/>
    </border>
    <border>
      <left style="thin"/>
      <right style="thin"/>
      <top style="medium"/>
    </border>
    <border>
      <left style="thin"/>
      <right style="thin"/>
      <bottom style="medium"/>
    </border>
    <border>
      <left style="thin"/>
      <right style="medium"/>
      <top style="medium"/>
    </border>
    <border>
      <left style="thin"/>
      <right style="medium"/>
      <bottom style="medium"/>
    </border>
    <border>
      <left style="medium"/>
    </border>
    <border>
      <right style="medium"/>
      <top style="thin"/>
      <bottom style="thin"/>
    </border>
    <border>
      <left style="medium"/>
      <right style="medium"/>
      <top style="medium"/>
    </border>
    <border>
      <left style="medium"/>
      <right style="medium"/>
      <bottom style="medium"/>
    </border>
    <border>
      <left style="medium"/>
      <right style="medium"/>
    </border>
    <border>
      <right style="medium"/>
      <top style="medium"/>
      <bottom style="thin"/>
    </border>
    <border>
      <right style="medium"/>
      <top style="thin"/>
      <bottom style="medium"/>
    </border>
  </borders>
  <cellStyleXfs count="2">
    <xf numFmtId="0" fontId="0" fillId="0" borderId="0"/>
    <xf numFmtId="0" fontId="2" fillId="0" borderId="0"/>
  </cellStyleXfs>
  <cellXfs count="111">
    <xf numFmtId="0" fontId="0" fillId="0" borderId="0" pivotButton="0" quotePrefix="0" xfId="0"/>
    <xf numFmtId="2" fontId="0" fillId="0" borderId="0" pivotButton="0" quotePrefix="0" xfId="0"/>
    <xf numFmtId="0" fontId="0" fillId="5" borderId="7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0" borderId="2" pivotButton="0" quotePrefix="0" xfId="0"/>
    <xf numFmtId="0" fontId="0" fillId="0" borderId="3" pivotButton="0" quotePrefix="0" xfId="0"/>
    <xf numFmtId="2" fontId="0" fillId="2" borderId="10" applyAlignment="1" pivotButton="0" quotePrefix="0" xfId="0">
      <alignment horizontal="center" vertical="center"/>
    </xf>
    <xf numFmtId="2" fontId="0" fillId="2" borderId="11" applyAlignment="1" pivotButton="0" quotePrefix="0" xfId="0">
      <alignment horizontal="center" vertical="center"/>
    </xf>
    <xf numFmtId="2" fontId="0" fillId="3" borderId="4" applyAlignment="1" pivotButton="0" quotePrefix="0" xfId="0">
      <alignment horizontal="center" vertical="center"/>
    </xf>
    <xf numFmtId="2" fontId="0" fillId="0" borderId="8" pivotButton="0" quotePrefix="0" xfId="0"/>
    <xf numFmtId="2" fontId="0" fillId="6" borderId="1" applyAlignment="1" pivotButton="0" quotePrefix="0" xfId="0">
      <alignment horizontal="center" vertical="center"/>
    </xf>
    <xf numFmtId="2" fontId="0" fillId="7" borderId="10" applyAlignment="1" pivotButton="0" quotePrefix="0" xfId="0">
      <alignment horizontal="center" vertical="center"/>
    </xf>
    <xf numFmtId="2" fontId="0" fillId="7" borderId="1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0" fillId="6" borderId="5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13" pivotButton="0" quotePrefix="0" xfId="0"/>
    <xf numFmtId="0" fontId="0" fillId="0" borderId="12" pivotButton="0" quotePrefix="0" xfId="0"/>
    <xf numFmtId="0" fontId="0" fillId="0" borderId="0" applyAlignment="1" pivotButton="0" quotePrefix="0" xfId="0">
      <alignment vertical="center"/>
    </xf>
    <xf numFmtId="0" fontId="0" fillId="0" borderId="6" applyAlignment="1" pivotButton="0" quotePrefix="0" xfId="0">
      <alignment vertical="center"/>
    </xf>
    <xf numFmtId="2" fontId="0" fillId="0" borderId="14" pivotButton="0" quotePrefix="0" xfId="0"/>
    <xf numFmtId="2" fontId="0" fillId="0" borderId="13" pivotButton="0" quotePrefix="0" xfId="0"/>
    <xf numFmtId="0" fontId="0" fillId="0" borderId="5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0" fillId="0" borderId="3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2" fontId="0" fillId="6" borderId="0" applyAlignment="1" pivotButton="0" quotePrefix="0" xfId="0">
      <alignment horizontal="center" vertical="center"/>
    </xf>
    <xf numFmtId="2" fontId="0" fillId="6" borderId="15" applyAlignment="1" pivotButton="0" quotePrefix="0" xfId="0">
      <alignment horizontal="center" vertical="center"/>
    </xf>
    <xf numFmtId="2" fontId="0" fillId="7" borderId="8" applyAlignment="1" pivotButton="0" quotePrefix="0" xfId="0">
      <alignment horizontal="center" vertical="center"/>
    </xf>
    <xf numFmtId="2" fontId="0" fillId="4" borderId="4" applyAlignment="1" pivotButton="0" quotePrefix="0" xfId="0">
      <alignment horizontal="center" vertical="center"/>
    </xf>
    <xf numFmtId="2" fontId="0" fillId="7" borderId="10" pivotButton="0" quotePrefix="0" xfId="0"/>
    <xf numFmtId="2" fontId="0" fillId="6" borderId="1" pivotButton="0" quotePrefix="0" xfId="0"/>
    <xf numFmtId="2" fontId="0" fillId="0" borderId="5" applyAlignment="1" pivotButton="0" quotePrefix="0" xfId="0">
      <alignment horizontal="center"/>
    </xf>
    <xf numFmtId="2" fontId="0" fillId="6" borderId="5" pivotButton="0" quotePrefix="0" xfId="0"/>
    <xf numFmtId="2" fontId="0" fillId="3" borderId="15" applyAlignment="1" pivotButton="0" quotePrefix="0" xfId="0">
      <alignment horizontal="center" vertical="center"/>
    </xf>
    <xf numFmtId="2" fontId="0" fillId="6" borderId="17" applyAlignment="1" pivotButton="0" quotePrefix="0" xfId="0">
      <alignment horizontal="center" vertical="center"/>
    </xf>
    <xf numFmtId="2" fontId="0" fillId="6" borderId="18" applyAlignment="1" pivotButton="0" quotePrefix="0" xfId="0">
      <alignment horizontal="center" vertical="center"/>
    </xf>
    <xf numFmtId="2" fontId="0" fillId="6" borderId="19" applyAlignment="1" pivotButton="0" quotePrefix="0" xfId="0">
      <alignment horizontal="center" vertical="center"/>
    </xf>
    <xf numFmtId="2" fontId="0" fillId="6" borderId="20" applyAlignment="1" pivotButton="0" quotePrefix="0" xfId="0">
      <alignment horizontal="center" vertical="center"/>
    </xf>
    <xf numFmtId="2" fontId="0" fillId="4" borderId="15" applyAlignment="1" pivotButton="0" quotePrefix="0" xfId="0">
      <alignment horizontal="center" vertical="center"/>
    </xf>
    <xf numFmtId="2" fontId="0" fillId="6" borderId="2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2" fontId="3" fillId="8" borderId="7" applyAlignment="1" pivotButton="0" quotePrefix="0" xfId="0">
      <alignment horizontal="center" vertical="center"/>
    </xf>
    <xf numFmtId="2" fontId="3" fillId="9" borderId="7" applyAlignment="1" pivotButton="0" quotePrefix="0" xfId="0">
      <alignment horizontal="center" vertical="center"/>
    </xf>
    <xf numFmtId="2" fontId="4" fillId="0" borderId="5" applyAlignment="1" pivotButton="0" quotePrefix="0" xfId="0">
      <alignment horizontal="center" vertical="center"/>
    </xf>
    <xf numFmtId="2" fontId="4" fillId="0" borderId="0" applyAlignment="1" pivotButton="0" quotePrefix="0" xfId="0">
      <alignment horizontal="center" vertical="center"/>
    </xf>
    <xf numFmtId="2" fontId="4" fillId="0" borderId="17" applyAlignment="1" pivotButton="0" quotePrefix="0" xfId="0">
      <alignment horizontal="center" vertical="center"/>
    </xf>
    <xf numFmtId="2" fontId="4" fillId="0" borderId="18" applyAlignment="1" pivotButton="0" quotePrefix="0" xfId="0">
      <alignment horizontal="center" vertical="center"/>
    </xf>
    <xf numFmtId="0" fontId="4" fillId="0" borderId="0" applyAlignment="1" pivotButton="0" quotePrefix="0" xfId="1">
      <alignment horizontal="center"/>
    </xf>
    <xf numFmtId="2" fontId="4" fillId="0" borderId="6" applyAlignment="1" pivotButton="0" quotePrefix="0" xfId="0">
      <alignment horizontal="center" vertical="center"/>
    </xf>
    <xf numFmtId="2" fontId="4" fillId="0" borderId="16" applyAlignment="1" pivotButton="0" quotePrefix="0" xfId="0">
      <alignment horizontal="center" vertical="center"/>
    </xf>
    <xf numFmtId="2" fontId="4" fillId="0" borderId="3" applyAlignment="1" pivotButton="0" quotePrefix="0" xfId="0">
      <alignment horizontal="center" vertical="center"/>
    </xf>
    <xf numFmtId="0" fontId="5" fillId="10" borderId="28" pivotButton="0" quotePrefix="0" xfId="0"/>
    <xf numFmtId="0" fontId="5" fillId="10" borderId="25" pivotButton="0" quotePrefix="0" xfId="0"/>
    <xf numFmtId="0" fontId="5" fillId="10" borderId="31" pivotButton="0" quotePrefix="0" xfId="0"/>
    <xf numFmtId="0" fontId="0" fillId="11" borderId="30" pivotButton="0" quotePrefix="0" xfId="0"/>
    <xf numFmtId="0" fontId="0" fillId="0" borderId="24" pivotButton="0" quotePrefix="0" xfId="0"/>
    <xf numFmtId="0" fontId="0" fillId="0" borderId="27" pivotButton="0" quotePrefix="0" xfId="0"/>
    <xf numFmtId="0" fontId="5" fillId="12" borderId="24" pivotButton="0" quotePrefix="0" xfId="0"/>
    <xf numFmtId="0" fontId="5" fillId="12" borderId="27" pivotButton="0" quotePrefix="0" xfId="0"/>
    <xf numFmtId="0" fontId="0" fillId="0" borderId="30" pivotButton="0" quotePrefix="0" xfId="0"/>
    <xf numFmtId="0" fontId="5" fillId="13" borderId="24" pivotButton="0" quotePrefix="0" xfId="0"/>
    <xf numFmtId="0" fontId="5" fillId="13" borderId="27" pivotButton="0" quotePrefix="0" xfId="0"/>
    <xf numFmtId="0" fontId="0" fillId="0" borderId="29" pivotButton="0" quotePrefix="0" xfId="0"/>
    <xf numFmtId="0" fontId="0" fillId="0" borderId="26" pivotButton="0" quotePrefix="0" xfId="0"/>
    <xf numFmtId="0" fontId="0" fillId="0" borderId="32" pivotButton="0" quotePrefix="0" xfId="0"/>
    <xf numFmtId="0" fontId="5" fillId="13" borderId="26" pivotButton="0" quotePrefix="0" xfId="0"/>
    <xf numFmtId="0" fontId="5" fillId="13" borderId="32" pivotButton="0" quotePrefix="0" xfId="0"/>
    <xf numFmtId="0" fontId="5" fillId="12" borderId="26" pivotButton="0" quotePrefix="0" xfId="0"/>
    <xf numFmtId="0" fontId="5" fillId="12" borderId="32" pivotButton="0" quotePrefix="0" xfId="0"/>
    <xf numFmtId="0" fontId="0" fillId="11" borderId="29" pivotButton="0" quotePrefix="0" xfId="0"/>
    <xf numFmtId="2" fontId="0" fillId="4" borderId="9" applyAlignment="1" pivotButton="0" quotePrefix="0" xfId="0">
      <alignment horizontal="center"/>
    </xf>
    <xf numFmtId="0" fontId="0" fillId="0" borderId="4" pivotButton="0" quotePrefix="0" xfId="0"/>
    <xf numFmtId="0" fontId="1" fillId="2" borderId="7" applyAlignment="1" pivotButton="0" quotePrefix="0" xfId="0">
      <alignment horizontal="center"/>
    </xf>
    <xf numFmtId="0" fontId="0" fillId="0" borderId="11" pivotButton="0" quotePrefix="0" xfId="0"/>
    <xf numFmtId="0" fontId="0" fillId="5" borderId="23" applyAlignment="1" pivotButton="0" quotePrefix="0" xfId="0">
      <alignment horizontal="center"/>
    </xf>
    <xf numFmtId="0" fontId="0" fillId="0" borderId="22" pivotButton="0" quotePrefix="0" xfId="0"/>
    <xf numFmtId="2" fontId="0" fillId="2" borderId="23" applyAlignment="1" pivotButton="0" quotePrefix="0" xfId="0">
      <alignment horizontal="center"/>
    </xf>
    <xf numFmtId="2" fontId="0" fillId="3" borderId="4" applyAlignment="1" pivotButton="0" quotePrefix="0" xfId="0">
      <alignment horizontal="center"/>
    </xf>
    <xf numFmtId="2" fontId="0" fillId="4" borderId="4" applyAlignment="1" pivotButton="0" quotePrefix="0" xfId="0">
      <alignment horizontal="center"/>
    </xf>
    <xf numFmtId="2" fontId="0" fillId="2" borderId="28" applyAlignment="1" pivotButton="0" quotePrefix="0" xfId="0">
      <alignment horizontal="center"/>
    </xf>
    <xf numFmtId="2" fontId="6" fillId="0" borderId="5" applyAlignment="1" pivotButton="0" quotePrefix="0" xfId="0">
      <alignment horizontal="center" vertical="center"/>
    </xf>
    <xf numFmtId="2" fontId="6" fillId="0" borderId="0" applyAlignment="1" pivotButton="0" quotePrefix="0" xfId="0">
      <alignment horizontal="center" vertical="center"/>
    </xf>
    <xf numFmtId="2" fontId="6" fillId="0" borderId="17" applyAlignment="1" pivotButton="0" quotePrefix="0" xfId="0">
      <alignment horizontal="center" vertical="center"/>
    </xf>
    <xf numFmtId="2" fontId="6" fillId="0" borderId="18" applyAlignment="1" pivotButton="0" quotePrefix="0" xfId="0">
      <alignment horizontal="center" vertical="center"/>
    </xf>
    <xf numFmtId="0" fontId="6" fillId="0" borderId="0" applyAlignment="1" pivotButton="0" quotePrefix="0" xfId="1">
      <alignment horizontal="center"/>
    </xf>
    <xf numFmtId="2" fontId="6" fillId="0" borderId="6" applyAlignment="1" pivotButton="0" quotePrefix="0" xfId="0">
      <alignment horizontal="center" vertical="center"/>
    </xf>
    <xf numFmtId="2" fontId="6" fillId="0" borderId="16" applyAlignment="1" pivotButton="0" quotePrefix="0" xfId="0">
      <alignment horizontal="center" vertical="center"/>
    </xf>
    <xf numFmtId="2" fontId="6" fillId="0" borderId="3" applyAlignment="1" pivotButton="0" quotePrefix="0" xfId="0">
      <alignment horizontal="center" vertical="center"/>
    </xf>
    <xf numFmtId="0" fontId="0" fillId="5" borderId="28" applyAlignment="1" pivotButton="0" quotePrefix="0" xfId="0">
      <alignment horizontal="center"/>
    </xf>
    <xf numFmtId="0" fontId="7" fillId="14" borderId="43" pivotButton="0" quotePrefix="0" xfId="0"/>
    <xf numFmtId="0" fontId="7" fillId="14" borderId="37" pivotButton="0" quotePrefix="0" xfId="0"/>
    <xf numFmtId="0" fontId="7" fillId="14" borderId="46" pivotButton="0" quotePrefix="0" xfId="0"/>
    <xf numFmtId="0" fontId="0" fillId="15" borderId="45" pivotButton="0" quotePrefix="0" xfId="0"/>
    <xf numFmtId="0" fontId="0" fillId="0" borderId="34" pivotButton="0" quotePrefix="0" xfId="0"/>
    <xf numFmtId="0" fontId="0" fillId="0" borderId="42" pivotButton="0" quotePrefix="0" xfId="0"/>
    <xf numFmtId="0" fontId="7" fillId="16" borderId="34" pivotButton="0" quotePrefix="0" xfId="0"/>
    <xf numFmtId="0" fontId="7" fillId="16" borderId="42" pivotButton="0" quotePrefix="0" xfId="0"/>
    <xf numFmtId="0" fontId="0" fillId="0" borderId="45" pivotButton="0" quotePrefix="0" xfId="0"/>
    <xf numFmtId="0" fontId="7" fillId="17" borderId="34" pivotButton="0" quotePrefix="0" xfId="0"/>
    <xf numFmtId="0" fontId="7" fillId="17" borderId="42" pivotButton="0" quotePrefix="0" xfId="0"/>
    <xf numFmtId="0" fontId="0" fillId="0" borderId="44" pivotButton="0" quotePrefix="0" xfId="0"/>
    <xf numFmtId="0" fontId="0" fillId="0" borderId="38" pivotButton="0" quotePrefix="0" xfId="0"/>
    <xf numFmtId="0" fontId="0" fillId="0" borderId="47" pivotButton="0" quotePrefix="0" xfId="0"/>
    <xf numFmtId="0" fontId="0" fillId="15" borderId="44" pivotButton="0" quotePrefix="0" xfId="0"/>
    <xf numFmtId="0" fontId="7" fillId="16" borderId="38" pivotButton="0" quotePrefix="0" xfId="0"/>
    <xf numFmtId="0" fontId="7" fillId="16" borderId="47" pivotButton="0" quotePrefix="0" xfId="0"/>
    <xf numFmtId="0" fontId="7" fillId="17" borderId="38" pivotButton="0" quotePrefix="0" xfId="0"/>
    <xf numFmtId="0" fontId="7" fillId="17" borderId="47" pivotButton="0" quotePrefix="0" xfId="0"/>
  </cellXfs>
  <cellStyles count="2">
    <cellStyle name="Normal" xfId="0" builtinId="0"/>
    <cellStyle name="Lien hypertexte" xfId="1" builtinId="8"/>
  </cellStyles>
  <dxfs count="2">
    <dxf>
      <fill>
        <patternFill>
          <bgColor theme="6" tint="0.5999633777886288"/>
        </patternFill>
      </fill>
    </dxf>
    <dxf>
      <fill>
        <patternFill>
          <bgColor theme="5" tint="0.5999633777886288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Details!C2" TargetMode="External" Id="rId1"/><Relationship Type="http://schemas.openxmlformats.org/officeDocument/2006/relationships/hyperlink" Target="#Details!C2" TargetMode="External" Id="rId2"/><Relationship Type="http://schemas.openxmlformats.org/officeDocument/2006/relationships/hyperlink" Target="#Details!C18" TargetMode="External" Id="rId3"/><Relationship Type="http://schemas.openxmlformats.org/officeDocument/2006/relationships/hyperlink" Target="#Details!C18" TargetMode="External" Id="rId4"/><Relationship Type="http://schemas.openxmlformats.org/officeDocument/2006/relationships/hyperlink" Target="#Details!C39" TargetMode="External" Id="rId5"/><Relationship Type="http://schemas.openxmlformats.org/officeDocument/2006/relationships/hyperlink" Target="#Details!C39" TargetMode="External" Id="rId6"/><Relationship Type="http://schemas.openxmlformats.org/officeDocument/2006/relationships/hyperlink" Target="#Details!C56" TargetMode="External" Id="rId7"/><Relationship Type="http://schemas.openxmlformats.org/officeDocument/2006/relationships/hyperlink" Target="#Details!C56" TargetMode="External" Id="rId8"/><Relationship Type="http://schemas.openxmlformats.org/officeDocument/2006/relationships/hyperlink" Target="#Details!C100" TargetMode="External" Id="rId9"/><Relationship Type="http://schemas.openxmlformats.org/officeDocument/2006/relationships/hyperlink" Target="#Details!C100" TargetMode="External" Id="rId10"/><Relationship Type="http://schemas.openxmlformats.org/officeDocument/2006/relationships/hyperlink" Target="#Details!C140" TargetMode="External" Id="rId11"/><Relationship Type="http://schemas.openxmlformats.org/officeDocument/2006/relationships/hyperlink" Target="#Details!C140" TargetMode="External" Id="rId12"/><Relationship Type="http://schemas.openxmlformats.org/officeDocument/2006/relationships/hyperlink" Target="#Details!C168" TargetMode="External" Id="rId13"/><Relationship Type="http://schemas.openxmlformats.org/officeDocument/2006/relationships/hyperlink" Target="#Details!C168" TargetMode="External" Id="rId14"/><Relationship Type="http://schemas.openxmlformats.org/officeDocument/2006/relationships/hyperlink" Target="#Details!C198" TargetMode="External" Id="rId15"/><Relationship Type="http://schemas.openxmlformats.org/officeDocument/2006/relationships/hyperlink" Target="#Details!C198" TargetMode="External" Id="rId16"/><Relationship Type="http://schemas.openxmlformats.org/officeDocument/2006/relationships/hyperlink" Target="#Details!C255" TargetMode="External" Id="rId17"/><Relationship Type="http://schemas.openxmlformats.org/officeDocument/2006/relationships/hyperlink" Target="#Details!C255" TargetMode="External" Id="rId18"/><Relationship Type="http://schemas.openxmlformats.org/officeDocument/2006/relationships/hyperlink" Target="#Details!C291" TargetMode="External" Id="rId19"/><Relationship Type="http://schemas.openxmlformats.org/officeDocument/2006/relationships/hyperlink" Target="#Details!C291" TargetMode="External" Id="rId20"/><Relationship Type="http://schemas.openxmlformats.org/officeDocument/2006/relationships/hyperlink" Target="#Details!C323" TargetMode="External" Id="rId21"/><Relationship Type="http://schemas.openxmlformats.org/officeDocument/2006/relationships/hyperlink" Target="#Details!C323" TargetMode="External" Id="rId22"/><Relationship Type="http://schemas.openxmlformats.org/officeDocument/2006/relationships/hyperlink" Target="#Details!C346" TargetMode="External" Id="rId23"/><Relationship Type="http://schemas.openxmlformats.org/officeDocument/2006/relationships/hyperlink" Target="#Details!C346" TargetMode="External" Id="rId24"/><Relationship Type="http://schemas.openxmlformats.org/officeDocument/2006/relationships/hyperlink" Target="#Details!C365" TargetMode="External" Id="rId25"/><Relationship Type="http://schemas.openxmlformats.org/officeDocument/2006/relationships/hyperlink" Target="#Details!C365" TargetMode="External" Id="rId26"/><Relationship Type="http://schemas.openxmlformats.org/officeDocument/2006/relationships/hyperlink" Target="#Details!C379" TargetMode="External" Id="rId27"/><Relationship Type="http://schemas.openxmlformats.org/officeDocument/2006/relationships/hyperlink" Target="#Details!C379" TargetMode="External" Id="rId28"/><Relationship Type="http://schemas.openxmlformats.org/officeDocument/2006/relationships/hyperlink" Target="#Details!C386" TargetMode="External" Id="rId29"/><Relationship Type="http://schemas.openxmlformats.org/officeDocument/2006/relationships/hyperlink" Target="#Details!C386" TargetMode="External" Id="rId30"/><Relationship Type="http://schemas.openxmlformats.org/officeDocument/2006/relationships/hyperlink" Target="#Details!C393" TargetMode="External" Id="rId31"/><Relationship Type="http://schemas.openxmlformats.org/officeDocument/2006/relationships/hyperlink" Target="#Details!C393" TargetMode="External" Id="rId32"/><Relationship Type="http://schemas.openxmlformats.org/officeDocument/2006/relationships/hyperlink" Target="#Details!C400" TargetMode="External" Id="rId33"/><Relationship Type="http://schemas.openxmlformats.org/officeDocument/2006/relationships/hyperlink" Target="#Details!C400" TargetMode="External" Id="rId34"/><Relationship Type="http://schemas.openxmlformats.org/officeDocument/2006/relationships/hyperlink" Target="#Details!C407" TargetMode="External" Id="rId35"/><Relationship Type="http://schemas.openxmlformats.org/officeDocument/2006/relationships/hyperlink" Target="#Details!C407" TargetMode="External" Id="rId36"/><Relationship Type="http://schemas.openxmlformats.org/officeDocument/2006/relationships/hyperlink" Target="#Details!C414" TargetMode="External" Id="rId37"/><Relationship Type="http://schemas.openxmlformats.org/officeDocument/2006/relationships/hyperlink" Target="#Details!C414" TargetMode="External" Id="rId38"/><Relationship Type="http://schemas.openxmlformats.org/officeDocument/2006/relationships/hyperlink" Target="#Details!C421" TargetMode="External" Id="rId39"/><Relationship Type="http://schemas.openxmlformats.org/officeDocument/2006/relationships/hyperlink" Target="#Details!C421" TargetMode="External" Id="rId40"/><Relationship Type="http://schemas.openxmlformats.org/officeDocument/2006/relationships/hyperlink" Target="#Details!C428" TargetMode="External" Id="rId41"/><Relationship Type="http://schemas.openxmlformats.org/officeDocument/2006/relationships/hyperlink" Target="#Details!C428" TargetMode="External" Id="rId42"/><Relationship Type="http://schemas.openxmlformats.org/officeDocument/2006/relationships/hyperlink" Target="#Details!C435" TargetMode="External" Id="rId43"/><Relationship Type="http://schemas.openxmlformats.org/officeDocument/2006/relationships/hyperlink" Target="#Details!C435" TargetMode="External" Id="rId44"/><Relationship Type="http://schemas.openxmlformats.org/officeDocument/2006/relationships/hyperlink" Target="#Details!C442" TargetMode="External" Id="rId45"/><Relationship Type="http://schemas.openxmlformats.org/officeDocument/2006/relationships/hyperlink" Target="#Details!C442" TargetMode="External" Id="rId46"/><Relationship Type="http://schemas.openxmlformats.org/officeDocument/2006/relationships/hyperlink" Target="#Details!C449" TargetMode="External" Id="rId47"/><Relationship Type="http://schemas.openxmlformats.org/officeDocument/2006/relationships/hyperlink" Target="#Details!C449" TargetMode="External" Id="rId48"/><Relationship Type="http://schemas.openxmlformats.org/officeDocument/2006/relationships/hyperlink" Target="#Details!C468" TargetMode="External" Id="rId49"/><Relationship Type="http://schemas.openxmlformats.org/officeDocument/2006/relationships/hyperlink" Target="#Details!C468" TargetMode="External" Id="rId50"/><Relationship Type="http://schemas.openxmlformats.org/officeDocument/2006/relationships/hyperlink" Target="#Details!C475" TargetMode="External" Id="rId51"/><Relationship Type="http://schemas.openxmlformats.org/officeDocument/2006/relationships/hyperlink" Target="#Details!C475" TargetMode="External" Id="rId52"/><Relationship Type="http://schemas.openxmlformats.org/officeDocument/2006/relationships/hyperlink" Target="#Details!C482" TargetMode="External" Id="rId53"/><Relationship Type="http://schemas.openxmlformats.org/officeDocument/2006/relationships/hyperlink" Target="#Details!C482" TargetMode="External" Id="rId54"/><Relationship Type="http://schemas.openxmlformats.org/officeDocument/2006/relationships/hyperlink" Target="#Details!C492" TargetMode="External" Id="rId55"/><Relationship Type="http://schemas.openxmlformats.org/officeDocument/2006/relationships/hyperlink" Target="#Details!C492" TargetMode="External" Id="rId56"/><Relationship Type="http://schemas.openxmlformats.org/officeDocument/2006/relationships/hyperlink" Target="#Details!C502" TargetMode="External" Id="rId57"/><Relationship Type="http://schemas.openxmlformats.org/officeDocument/2006/relationships/hyperlink" Target="#Details!C502" TargetMode="External" Id="rId58"/><Relationship Type="http://schemas.openxmlformats.org/officeDocument/2006/relationships/hyperlink" Target="#Details!C515" TargetMode="External" Id="rId59"/><Relationship Type="http://schemas.openxmlformats.org/officeDocument/2006/relationships/hyperlink" Target="#Details!C515" TargetMode="External" Id="rId60"/><Relationship Type="http://schemas.openxmlformats.org/officeDocument/2006/relationships/hyperlink" Target="#Details!C523" TargetMode="External" Id="rId61"/><Relationship Type="http://schemas.openxmlformats.org/officeDocument/2006/relationships/hyperlink" Target="#Details!C523" TargetMode="External" Id="rId62"/><Relationship Type="http://schemas.openxmlformats.org/officeDocument/2006/relationships/hyperlink" Target="#Details!C531" TargetMode="External" Id="rId63"/><Relationship Type="http://schemas.openxmlformats.org/officeDocument/2006/relationships/hyperlink" Target="#Details!C531" TargetMode="External" Id="rId64"/><Relationship Type="http://schemas.openxmlformats.org/officeDocument/2006/relationships/hyperlink" Target="#Details!C542" TargetMode="External" Id="rId65"/><Relationship Type="http://schemas.openxmlformats.org/officeDocument/2006/relationships/hyperlink" Target="#Details!C542" TargetMode="External" Id="rId66"/><Relationship Type="http://schemas.openxmlformats.org/officeDocument/2006/relationships/hyperlink" Target="#Details!C549" TargetMode="External" Id="rId67"/><Relationship Type="http://schemas.openxmlformats.org/officeDocument/2006/relationships/hyperlink" Target="#Details!C549" TargetMode="External" Id="rId68"/><Relationship Type="http://schemas.openxmlformats.org/officeDocument/2006/relationships/hyperlink" Target="#Details!C556" TargetMode="External" Id="rId69"/><Relationship Type="http://schemas.openxmlformats.org/officeDocument/2006/relationships/hyperlink" Target="#Details!C556" TargetMode="External" Id="rId70"/><Relationship Type="http://schemas.openxmlformats.org/officeDocument/2006/relationships/hyperlink" Target="#Details!C563" TargetMode="External" Id="rId71"/><Relationship Type="http://schemas.openxmlformats.org/officeDocument/2006/relationships/hyperlink" Target="#Details!C563" TargetMode="External" Id="rId72"/><Relationship Type="http://schemas.openxmlformats.org/officeDocument/2006/relationships/hyperlink" Target="#Details!C579" TargetMode="External" Id="rId73"/><Relationship Type="http://schemas.openxmlformats.org/officeDocument/2006/relationships/hyperlink" Target="#Details!C579" TargetMode="External" Id="rId74"/><Relationship Type="http://schemas.openxmlformats.org/officeDocument/2006/relationships/hyperlink" Target="#Details!C586" TargetMode="External" Id="rId75"/><Relationship Type="http://schemas.openxmlformats.org/officeDocument/2006/relationships/hyperlink" Target="#Details!C586" TargetMode="External" Id="rId76"/><Relationship Type="http://schemas.openxmlformats.org/officeDocument/2006/relationships/hyperlink" Target="#Details!C593" TargetMode="External" Id="rId77"/><Relationship Type="http://schemas.openxmlformats.org/officeDocument/2006/relationships/hyperlink" Target="#Details!C593" TargetMode="External" Id="rId78"/><Relationship Type="http://schemas.openxmlformats.org/officeDocument/2006/relationships/hyperlink" Target="#Details!C600" TargetMode="External" Id="rId79"/><Relationship Type="http://schemas.openxmlformats.org/officeDocument/2006/relationships/hyperlink" Target="#Details!C600" TargetMode="External" Id="rId80"/><Relationship Type="http://schemas.openxmlformats.org/officeDocument/2006/relationships/hyperlink" Target="#Details!C645" TargetMode="External" Id="rId81"/><Relationship Type="http://schemas.openxmlformats.org/officeDocument/2006/relationships/hyperlink" Target="#Details!C645" TargetMode="External" Id="rId82"/><Relationship Type="http://schemas.openxmlformats.org/officeDocument/2006/relationships/hyperlink" Target="#Details!C671" TargetMode="External" Id="rId83"/><Relationship Type="http://schemas.openxmlformats.org/officeDocument/2006/relationships/hyperlink" Target="#Details!C671" TargetMode="External" Id="rId84"/><Relationship Type="http://schemas.openxmlformats.org/officeDocument/2006/relationships/hyperlink" Target="#Details!C703" TargetMode="External" Id="rId85"/><Relationship Type="http://schemas.openxmlformats.org/officeDocument/2006/relationships/hyperlink" Target="#Details!C703" TargetMode="External" Id="rId86"/><Relationship Type="http://schemas.openxmlformats.org/officeDocument/2006/relationships/hyperlink" Target="#Details!C759" TargetMode="External" Id="rId87"/><Relationship Type="http://schemas.openxmlformats.org/officeDocument/2006/relationships/hyperlink" Target="#Details!C759" TargetMode="External" Id="rId88"/><Relationship Type="http://schemas.openxmlformats.org/officeDocument/2006/relationships/hyperlink" Target="#Details!C797" TargetMode="External" Id="rId89"/><Relationship Type="http://schemas.openxmlformats.org/officeDocument/2006/relationships/hyperlink" Target="#Details!C797" TargetMode="External" Id="rId90"/><Relationship Type="http://schemas.openxmlformats.org/officeDocument/2006/relationships/hyperlink" Target="#Details!C840" TargetMode="External" Id="rId91"/><Relationship Type="http://schemas.openxmlformats.org/officeDocument/2006/relationships/hyperlink" Target="#Details!C840" TargetMode="External" Id="rId92"/><Relationship Type="http://schemas.openxmlformats.org/officeDocument/2006/relationships/hyperlink" Target="#Details!C879" TargetMode="External" Id="rId93"/><Relationship Type="http://schemas.openxmlformats.org/officeDocument/2006/relationships/hyperlink" Target="#Details!C879" TargetMode="External" Id="rId94"/><Relationship Type="http://schemas.openxmlformats.org/officeDocument/2006/relationships/hyperlink" Target="#Details!C924" TargetMode="External" Id="rId95"/><Relationship Type="http://schemas.openxmlformats.org/officeDocument/2006/relationships/hyperlink" Target="#Details!C924" TargetMode="External" Id="rId96"/><Relationship Type="http://schemas.openxmlformats.org/officeDocument/2006/relationships/hyperlink" Target="#Details!C965" TargetMode="External" Id="rId97"/><Relationship Type="http://schemas.openxmlformats.org/officeDocument/2006/relationships/hyperlink" Target="#Details!C965" TargetMode="External" Id="rId98"/><Relationship Type="http://schemas.openxmlformats.org/officeDocument/2006/relationships/hyperlink" Target="#Details!C1004" TargetMode="External" Id="rId99"/><Relationship Type="http://schemas.openxmlformats.org/officeDocument/2006/relationships/hyperlink" Target="#Details!C1004" TargetMode="External" Id="rId100"/><Relationship Type="http://schemas.openxmlformats.org/officeDocument/2006/relationships/hyperlink" Target="#Details!C1021" TargetMode="External" Id="rId101"/><Relationship Type="http://schemas.openxmlformats.org/officeDocument/2006/relationships/hyperlink" Target="#Details!C1021" TargetMode="External" Id="rId102"/><Relationship Type="http://schemas.openxmlformats.org/officeDocument/2006/relationships/hyperlink" Target="#Details!C1028" TargetMode="External" Id="rId103"/><Relationship Type="http://schemas.openxmlformats.org/officeDocument/2006/relationships/hyperlink" Target="#Details!C1028" TargetMode="External" Id="rId104"/><Relationship Type="http://schemas.openxmlformats.org/officeDocument/2006/relationships/hyperlink" Target="#Details!C1035" TargetMode="External" Id="rId105"/><Relationship Type="http://schemas.openxmlformats.org/officeDocument/2006/relationships/hyperlink" Target="#Details!C1035" TargetMode="External" Id="rId106"/><Relationship Type="http://schemas.openxmlformats.org/officeDocument/2006/relationships/hyperlink" Target="#Details!C1046" TargetMode="External" Id="rId107"/><Relationship Type="http://schemas.openxmlformats.org/officeDocument/2006/relationships/hyperlink" Target="#Details!C1046" TargetMode="External" Id="rId108"/><Relationship Type="http://schemas.openxmlformats.org/officeDocument/2006/relationships/hyperlink" Target="#Details!C1053" TargetMode="External" Id="rId109"/><Relationship Type="http://schemas.openxmlformats.org/officeDocument/2006/relationships/hyperlink" Target="#Details!C1053" TargetMode="External" Id="rId110"/><Relationship Type="http://schemas.openxmlformats.org/officeDocument/2006/relationships/hyperlink" Target="#Details!C1060" TargetMode="External" Id="rId111"/><Relationship Type="http://schemas.openxmlformats.org/officeDocument/2006/relationships/hyperlink" Target="#Details!C1060" TargetMode="External" Id="rId112"/><Relationship Type="http://schemas.openxmlformats.org/officeDocument/2006/relationships/hyperlink" Target="#Details!C1067" TargetMode="External" Id="rId113"/><Relationship Type="http://schemas.openxmlformats.org/officeDocument/2006/relationships/hyperlink" Target="#Details!C1067" TargetMode="External" Id="rId114"/><Relationship Type="http://schemas.openxmlformats.org/officeDocument/2006/relationships/hyperlink" Target="#Details!C1074" TargetMode="External" Id="rId115"/><Relationship Type="http://schemas.openxmlformats.org/officeDocument/2006/relationships/hyperlink" Target="#Details!C1074" TargetMode="External" Id="rId116"/><Relationship Type="http://schemas.openxmlformats.org/officeDocument/2006/relationships/hyperlink" Target="#Details!C1140" TargetMode="External" Id="rId117"/><Relationship Type="http://schemas.openxmlformats.org/officeDocument/2006/relationships/hyperlink" Target="#Details!C1140" TargetMode="External" Id="rId118"/><Relationship Type="http://schemas.openxmlformats.org/officeDocument/2006/relationships/hyperlink" Target="#Details!C1174" TargetMode="External" Id="rId119"/><Relationship Type="http://schemas.openxmlformats.org/officeDocument/2006/relationships/hyperlink" Target="#Details!C1174" TargetMode="External" Id="rId120"/><Relationship Type="http://schemas.openxmlformats.org/officeDocument/2006/relationships/hyperlink" Target="#Details!C1205" TargetMode="External" Id="rId121"/><Relationship Type="http://schemas.openxmlformats.org/officeDocument/2006/relationships/hyperlink" Target="#Details!C1205" TargetMode="External" Id="rId122"/><Relationship Type="http://schemas.openxmlformats.org/officeDocument/2006/relationships/hyperlink" Target="#Details!C1242" TargetMode="External" Id="rId123"/><Relationship Type="http://schemas.openxmlformats.org/officeDocument/2006/relationships/hyperlink" Target="#Details!C1242" TargetMode="External" Id="rId124"/><Relationship Type="http://schemas.openxmlformats.org/officeDocument/2006/relationships/hyperlink" Target="#Details!C1273" TargetMode="External" Id="rId125"/><Relationship Type="http://schemas.openxmlformats.org/officeDocument/2006/relationships/hyperlink" Target="#Details!C1273" TargetMode="External" Id="rId126"/><Relationship Type="http://schemas.openxmlformats.org/officeDocument/2006/relationships/hyperlink" Target="#Details!C1296" TargetMode="External" Id="rId127"/><Relationship Type="http://schemas.openxmlformats.org/officeDocument/2006/relationships/hyperlink" Target="#Details!C1296" TargetMode="External" Id="rId128"/><Relationship Type="http://schemas.openxmlformats.org/officeDocument/2006/relationships/hyperlink" Target="#Details!C1325" TargetMode="External" Id="rId129"/><Relationship Type="http://schemas.openxmlformats.org/officeDocument/2006/relationships/hyperlink" Target="#Details!C1325" TargetMode="External" Id="rId130"/><Relationship Type="http://schemas.openxmlformats.org/officeDocument/2006/relationships/hyperlink" Target="#Details!C1363" TargetMode="External" Id="rId131"/><Relationship Type="http://schemas.openxmlformats.org/officeDocument/2006/relationships/hyperlink" Target="#Details!C1363" TargetMode="External" Id="rId132"/><Relationship Type="http://schemas.openxmlformats.org/officeDocument/2006/relationships/hyperlink" Target="#Details!C1393" TargetMode="External" Id="rId133"/><Relationship Type="http://schemas.openxmlformats.org/officeDocument/2006/relationships/hyperlink" Target="#Details!C1393" TargetMode="External" Id="rId134"/><Relationship Type="http://schemas.openxmlformats.org/officeDocument/2006/relationships/hyperlink" Target="#Details!C1427" TargetMode="External" Id="rId135"/><Relationship Type="http://schemas.openxmlformats.org/officeDocument/2006/relationships/hyperlink" Target="#Details!C1427" TargetMode="External" Id="rId136"/><Relationship Type="http://schemas.openxmlformats.org/officeDocument/2006/relationships/hyperlink" Target="#Details!C1434" TargetMode="External" Id="rId137"/><Relationship Type="http://schemas.openxmlformats.org/officeDocument/2006/relationships/hyperlink" Target="#Details!C1434" TargetMode="External" Id="rId138"/></Relationships>
</file>

<file path=xl/worksheets/sheet1.xml><?xml version="1.0" encoding="utf-8"?>
<worksheet xmlns="http://schemas.openxmlformats.org/spreadsheetml/2006/main">
  <sheetPr codeName="Feuil1">
    <outlinePr summaryBelow="1" summaryRight="1"/>
    <pageSetUpPr/>
  </sheetPr>
  <dimension ref="A1:CT38"/>
  <sheetViews>
    <sheetView tabSelected="1" zoomScaleNormal="100" workbookViewId="0">
      <pane xSplit="1" topLeftCell="B1" activePane="topRight" state="frozen"/>
      <selection pane="topRight" activeCell="C21" sqref="G20"/>
    </sheetView>
  </sheetViews>
  <sheetFormatPr baseColWidth="10" defaultColWidth="8.88671875" defaultRowHeight="14.4"/>
  <cols>
    <col width="8.88671875" customWidth="1" style="1" min="1" max="1"/>
    <col width="9.109375" customWidth="1" style="1" min="2" max="2"/>
    <col width="13.44140625" customWidth="1" style="1" min="3" max="3"/>
    <col width="17.6640625" customWidth="1" style="1" min="4" max="4"/>
    <col width="21.33203125" customWidth="1" style="1" min="5" max="5"/>
    <col width="18.33203125" customWidth="1" style="1" min="6" max="6"/>
    <col width="18.77734375" customWidth="1" style="1" min="7" max="7"/>
    <col width="15.109375" customWidth="1" style="1" min="8" max="8"/>
    <col width="18.44140625" customWidth="1" style="1" min="9" max="9"/>
    <col width="15.6640625" customWidth="1" style="1" min="10" max="10"/>
    <col width="16.6640625" customWidth="1" style="1" min="11" max="11"/>
    <col width="19" customWidth="1" style="1" min="12" max="12"/>
    <col width="18.109375" customWidth="1" style="1" min="13" max="13"/>
    <col width="17.109375" customWidth="1" style="1" min="14" max="14"/>
    <col width="18.33203125" customWidth="1" style="1" min="15" max="15"/>
    <col width="19.5546875" customWidth="1" style="1" min="16" max="16"/>
    <col width="19.33203125" customWidth="1" style="1" min="17" max="17"/>
    <col width="18.33203125" customWidth="1" style="1" min="18" max="18"/>
    <col width="18.109375" customWidth="1" style="1" min="19" max="19"/>
    <col width="16" customWidth="1" style="1" min="20" max="20"/>
    <col width="15" customWidth="1" style="1" min="21" max="21"/>
    <col hidden="1" width="13" customWidth="1" style="1" min="22" max="22"/>
    <col width="8.88671875" customWidth="1" style="1" min="23" max="42"/>
    <col width="8.88671875" customWidth="1" style="1" min="43" max="16384"/>
  </cols>
  <sheetData>
    <row r="1" ht="15" customHeight="1" thickBot="1">
      <c r="F1" t="inlineStr">
        <is>
          <t>Exception Report from : 2026-02-26 14:07:28</t>
        </is>
      </c>
      <c r="H1" t="inlineStr">
        <is>
          <t>Updated at : 2026-03-03 11:41:23</t>
        </is>
      </c>
    </row>
    <row r="2" ht="15" customHeight="1" thickBot="1">
      <c r="B2" s="82" t="inlineStr">
        <is>
          <t>Backlog</t>
        </is>
      </c>
      <c r="C2" s="78" t="n"/>
      <c r="D2" s="80" t="inlineStr">
        <is>
          <t>Forecast W</t>
        </is>
      </c>
      <c r="E2" s="74" t="n"/>
      <c r="F2" s="81" t="inlineStr">
        <is>
          <t>Forecast W1</t>
        </is>
      </c>
      <c r="G2" s="74" t="n"/>
      <c r="H2" s="73" t="inlineStr">
        <is>
          <t>Forecast W2</t>
        </is>
      </c>
      <c r="I2" s="74" t="n"/>
      <c r="J2" s="73" t="inlineStr">
        <is>
          <t>Forecast W3</t>
        </is>
      </c>
      <c r="K2" s="74" t="n"/>
      <c r="L2" s="73" t="inlineStr">
        <is>
          <t>Forecast W4</t>
        </is>
      </c>
      <c r="M2" s="74" t="n"/>
      <c r="N2" s="73" t="inlineStr">
        <is>
          <t>Forecast W5</t>
        </is>
      </c>
      <c r="O2" s="74" t="n"/>
      <c r="P2" s="73" t="inlineStr">
        <is>
          <t>Forecast W6</t>
        </is>
      </c>
      <c r="Q2" s="74" t="n"/>
      <c r="R2" s="73" t="inlineStr">
        <is>
          <t>Forecast W7</t>
        </is>
      </c>
      <c r="S2" s="74" t="n"/>
      <c r="T2" s="73" t="inlineStr">
        <is>
          <t>Forecast W8</t>
        </is>
      </c>
      <c r="U2" s="74" t="n"/>
    </row>
    <row r="3" ht="15" customHeight="1" thickBot="1">
      <c r="B3" s="7" t="inlineStr">
        <is>
          <t>Postes</t>
        </is>
      </c>
      <c r="C3" s="8" t="inlineStr">
        <is>
          <t>Tonnes</t>
        </is>
      </c>
      <c r="D3" s="36" t="inlineStr">
        <is>
          <t>Postes</t>
        </is>
      </c>
      <c r="E3" s="9" t="inlineStr">
        <is>
          <t>Tonnes</t>
        </is>
      </c>
      <c r="F3" s="41" t="inlineStr">
        <is>
          <t>Postes</t>
        </is>
      </c>
      <c r="G3" s="31" t="inlineStr">
        <is>
          <t>Tonnes</t>
        </is>
      </c>
      <c r="H3" s="43" t="inlineStr">
        <is>
          <t>Postes</t>
        </is>
      </c>
      <c r="I3" s="31" t="inlineStr">
        <is>
          <t>Tonnes</t>
        </is>
      </c>
      <c r="J3" s="43" t="inlineStr">
        <is>
          <t>Postes</t>
        </is>
      </c>
      <c r="K3" s="31" t="inlineStr">
        <is>
          <t>Tonnes</t>
        </is>
      </c>
      <c r="L3" s="43" t="inlineStr">
        <is>
          <t>Postes</t>
        </is>
      </c>
      <c r="M3" s="31" t="inlineStr">
        <is>
          <t>Tonnes</t>
        </is>
      </c>
      <c r="N3" s="43" t="inlineStr">
        <is>
          <t>Postes</t>
        </is>
      </c>
      <c r="O3" s="31" t="inlineStr">
        <is>
          <t>Tonnes</t>
        </is>
      </c>
      <c r="P3" s="43" t="inlineStr">
        <is>
          <t>Postes</t>
        </is>
      </c>
      <c r="Q3" s="31" t="inlineStr">
        <is>
          <t>Tonnes</t>
        </is>
      </c>
      <c r="R3" s="43" t="inlineStr">
        <is>
          <t>Postes</t>
        </is>
      </c>
      <c r="S3" s="31" t="inlineStr">
        <is>
          <t>Tonnes</t>
        </is>
      </c>
      <c r="T3" s="43" t="inlineStr">
        <is>
          <t>Postes</t>
        </is>
      </c>
      <c r="U3" s="31" t="inlineStr">
        <is>
          <t>Tonnes</t>
        </is>
      </c>
    </row>
    <row r="4">
      <c r="A4" s="33" t="inlineStr">
        <is>
          <t>L1</t>
        </is>
      </c>
      <c r="B4" s="11" t="n">
        <v>46.8</v>
      </c>
      <c r="C4" s="29" t="n">
        <v>7595.14</v>
      </c>
      <c r="D4" s="39" t="n">
        <v>5.22</v>
      </c>
      <c r="E4" s="42" t="n">
        <v>109.78</v>
      </c>
      <c r="F4" s="39" t="n">
        <v>6.89</v>
      </c>
      <c r="G4" s="42" t="n">
        <v>333.02</v>
      </c>
      <c r="H4" s="39" t="n">
        <v>10.95</v>
      </c>
      <c r="I4" s="42" t="n">
        <v>394.8</v>
      </c>
      <c r="J4" s="39" t="n">
        <v>2.99</v>
      </c>
      <c r="K4" s="42" t="n">
        <v>192.34</v>
      </c>
      <c r="L4" s="39" t="n">
        <v>3.85</v>
      </c>
      <c r="M4" s="42" t="n">
        <v>216.08</v>
      </c>
      <c r="N4" s="39" t="n">
        <v>4.19</v>
      </c>
      <c r="O4" s="42" t="n">
        <v>280.6</v>
      </c>
      <c r="P4" s="39" t="n">
        <v>7.28</v>
      </c>
      <c r="Q4" s="42" t="n">
        <v>327.68</v>
      </c>
      <c r="R4" s="39" t="n">
        <v>3.36</v>
      </c>
      <c r="S4" s="42" t="n">
        <v>172.08</v>
      </c>
      <c r="T4" s="39" t="n">
        <v>4.49</v>
      </c>
      <c r="U4" s="40" t="n">
        <v>286.59</v>
      </c>
      <c r="V4" s="1" t="n">
        <v>254.3</v>
      </c>
    </row>
    <row r="5" customFormat="1" s="15">
      <c r="A5" s="34" t="inlineStr">
        <is>
          <t>Série</t>
        </is>
      </c>
      <c r="B5" s="83" t="n">
        <v>37.7</v>
      </c>
      <c r="C5" s="84" t="n">
        <v>7491.95</v>
      </c>
      <c r="D5" s="85" t="n">
        <v>2.08</v>
      </c>
      <c r="E5" s="86" t="n">
        <v>92</v>
      </c>
      <c r="F5" s="84" t="n">
        <v>4.1</v>
      </c>
      <c r="G5" s="86" t="n">
        <v>261.21</v>
      </c>
      <c r="H5" s="84" t="n">
        <v>10.91</v>
      </c>
      <c r="I5" s="86" t="n">
        <v>394.12</v>
      </c>
      <c r="J5" s="84" t="n">
        <v>2.92</v>
      </c>
      <c r="K5" s="86" t="n">
        <v>190.33</v>
      </c>
      <c r="L5" s="84" t="n">
        <v>3.85</v>
      </c>
      <c r="M5" s="86" t="n">
        <v>216.08</v>
      </c>
      <c r="N5" s="84" t="n">
        <v>4.19</v>
      </c>
      <c r="O5" s="86" t="n">
        <v>280.6</v>
      </c>
      <c r="P5" s="84" t="n">
        <v>6.4</v>
      </c>
      <c r="Q5" s="86" t="n">
        <v>295.4</v>
      </c>
      <c r="R5" s="84" t="n">
        <v>3.36</v>
      </c>
      <c r="S5" s="86" t="n">
        <v>172.08</v>
      </c>
      <c r="T5" s="84" t="n">
        <v>3.61</v>
      </c>
      <c r="U5" s="86" t="n">
        <v>254.3</v>
      </c>
      <c r="V5" s="14" t="n">
        <v>254.3</v>
      </c>
    </row>
    <row r="6" customFormat="1" s="15">
      <c r="A6" s="34" t="inlineStr">
        <is>
          <t>Proto</t>
        </is>
      </c>
      <c r="B6" s="83" t="n">
        <v>9.1</v>
      </c>
      <c r="C6" s="87" t="n">
        <v>103.19</v>
      </c>
      <c r="D6" s="85" t="n">
        <v>3.14</v>
      </c>
      <c r="E6" s="86" t="n">
        <v>17.78</v>
      </c>
      <c r="F6" s="84" t="n">
        <v>2.79</v>
      </c>
      <c r="G6" s="86" t="n">
        <v>71.8</v>
      </c>
      <c r="H6" s="84" t="n">
        <v>0.04</v>
      </c>
      <c r="I6" s="86" t="n">
        <v>0.68</v>
      </c>
      <c r="J6" s="84" t="n">
        <v>0.07000000000000001</v>
      </c>
      <c r="K6" s="86" t="n">
        <v>2.01</v>
      </c>
      <c r="L6" s="84" t="n">
        <v>0</v>
      </c>
      <c r="M6" s="86" t="n">
        <v>0</v>
      </c>
      <c r="N6" s="84" t="n">
        <v>0</v>
      </c>
      <c r="O6" s="86" t="n">
        <v>0</v>
      </c>
      <c r="P6" s="84" t="n">
        <v>0.88</v>
      </c>
      <c r="Q6" s="86" t="n">
        <v>32.28</v>
      </c>
      <c r="R6" s="84" t="n">
        <v>0</v>
      </c>
      <c r="S6" s="86" t="n">
        <v>0</v>
      </c>
      <c r="T6" s="84" t="n">
        <v>0.88</v>
      </c>
      <c r="U6" s="86" t="n">
        <v>32.28</v>
      </c>
      <c r="V6" s="14" t="n">
        <v>32.28</v>
      </c>
    </row>
    <row r="7">
      <c r="A7" s="35" t="inlineStr">
        <is>
          <t>LAS1</t>
        </is>
      </c>
      <c r="B7" s="16" t="n">
        <v>28.33</v>
      </c>
      <c r="C7" s="28" t="n">
        <v>178.38</v>
      </c>
      <c r="D7" s="37" t="n">
        <v>11.96</v>
      </c>
      <c r="E7" s="38" t="n">
        <v>23.45</v>
      </c>
      <c r="F7" s="28" t="n">
        <v>0</v>
      </c>
      <c r="G7" s="38" t="n">
        <v>0</v>
      </c>
      <c r="H7" s="28" t="n">
        <v>3.32</v>
      </c>
      <c r="I7" s="38" t="n">
        <v>31.88</v>
      </c>
      <c r="J7" s="28" t="n">
        <v>0</v>
      </c>
      <c r="K7" s="38" t="n">
        <v>0</v>
      </c>
      <c r="L7" s="28" t="n">
        <v>0.83</v>
      </c>
      <c r="M7" s="38" t="n">
        <v>2.73</v>
      </c>
      <c r="N7" s="28" t="n">
        <v>0</v>
      </c>
      <c r="O7" s="38" t="n">
        <v>0</v>
      </c>
      <c r="P7" s="28" t="n">
        <v>1.29</v>
      </c>
      <c r="Q7" s="38" t="n">
        <v>5.66</v>
      </c>
      <c r="R7" s="28" t="n">
        <v>0.83</v>
      </c>
      <c r="S7" s="38" t="n">
        <v>2.73</v>
      </c>
      <c r="T7" s="28" t="n">
        <v>0</v>
      </c>
      <c r="U7" s="38" t="n">
        <v>0</v>
      </c>
      <c r="V7" s="1" t="n">
        <v>32.28</v>
      </c>
    </row>
    <row r="8" customFormat="1" s="15">
      <c r="A8" s="34" t="inlineStr">
        <is>
          <t>Série</t>
        </is>
      </c>
      <c r="B8" s="83" t="n">
        <v>0.02</v>
      </c>
      <c r="C8" s="84" t="n">
        <v>0.62</v>
      </c>
      <c r="D8" s="85" t="n">
        <v>1.05</v>
      </c>
      <c r="E8" s="86" t="n">
        <v>2.95</v>
      </c>
      <c r="F8" s="84" t="n">
        <v>0</v>
      </c>
      <c r="G8" s="86" t="n">
        <v>0</v>
      </c>
      <c r="H8" s="84" t="n">
        <v>3.32</v>
      </c>
      <c r="I8" s="86" t="n">
        <v>31.88</v>
      </c>
      <c r="J8" s="84" t="n">
        <v>0</v>
      </c>
      <c r="K8" s="86" t="n">
        <v>0</v>
      </c>
      <c r="L8" s="84" t="n">
        <v>0.83</v>
      </c>
      <c r="M8" s="86" t="n">
        <v>2.73</v>
      </c>
      <c r="N8" s="84" t="n">
        <v>0</v>
      </c>
      <c r="O8" s="86" t="n">
        <v>0</v>
      </c>
      <c r="P8" s="84" t="n">
        <v>1.29</v>
      </c>
      <c r="Q8" s="86" t="n">
        <v>5.66</v>
      </c>
      <c r="R8" s="84" t="n">
        <v>0.83</v>
      </c>
      <c r="S8" s="86" t="n">
        <v>2.73</v>
      </c>
      <c r="T8" s="84" t="n">
        <v>0</v>
      </c>
      <c r="U8" s="86" t="n">
        <v>0</v>
      </c>
      <c r="V8" s="14" t="n">
        <v>0</v>
      </c>
    </row>
    <row r="9" customFormat="1" s="15">
      <c r="A9" s="34" t="inlineStr">
        <is>
          <t>Proto</t>
        </is>
      </c>
      <c r="B9" s="83" t="n">
        <v>28.31</v>
      </c>
      <c r="C9" s="84" t="n">
        <v>177.76</v>
      </c>
      <c r="D9" s="85" t="n">
        <v>10.91</v>
      </c>
      <c r="E9" s="86" t="n">
        <v>20.51</v>
      </c>
      <c r="F9" s="84" t="n">
        <v>0</v>
      </c>
      <c r="G9" s="86" t="n">
        <v>0</v>
      </c>
      <c r="H9" s="84" t="n">
        <v>0</v>
      </c>
      <c r="I9" s="86" t="n">
        <v>0</v>
      </c>
      <c r="J9" s="84" t="n">
        <v>0</v>
      </c>
      <c r="K9" s="86" t="n">
        <v>0</v>
      </c>
      <c r="L9" s="84" t="n">
        <v>0</v>
      </c>
      <c r="M9" s="86" t="n">
        <v>0</v>
      </c>
      <c r="N9" s="84" t="n">
        <v>0</v>
      </c>
      <c r="O9" s="86" t="n">
        <v>0</v>
      </c>
      <c r="P9" s="84" t="n">
        <v>0</v>
      </c>
      <c r="Q9" s="86" t="n">
        <v>0</v>
      </c>
      <c r="R9" s="84" t="n">
        <v>0</v>
      </c>
      <c r="S9" s="86" t="n">
        <v>0</v>
      </c>
      <c r="T9" s="84" t="n">
        <v>0</v>
      </c>
      <c r="U9" s="86" t="n">
        <v>0</v>
      </c>
      <c r="V9" s="14" t="n">
        <v>0</v>
      </c>
    </row>
    <row r="10">
      <c r="A10" s="35" t="inlineStr">
        <is>
          <t>P3</t>
        </is>
      </c>
      <c r="B10" s="16" t="n">
        <v>4.15</v>
      </c>
      <c r="C10" s="28" t="n">
        <v>68.47</v>
      </c>
      <c r="D10" s="37" t="n">
        <v>8.99</v>
      </c>
      <c r="E10" s="38" t="n">
        <v>139.14</v>
      </c>
      <c r="F10" s="28" t="n">
        <v>5.12</v>
      </c>
      <c r="G10" s="38" t="n">
        <v>69.04000000000001</v>
      </c>
      <c r="H10" s="28" t="n">
        <v>13.1</v>
      </c>
      <c r="I10" s="38" t="n">
        <v>171.24</v>
      </c>
      <c r="J10" s="28" t="n">
        <v>8.890000000000001</v>
      </c>
      <c r="K10" s="38" t="n">
        <v>120.42</v>
      </c>
      <c r="L10" s="28" t="n">
        <v>8.890000000000001</v>
      </c>
      <c r="M10" s="38" t="n">
        <v>120.42</v>
      </c>
      <c r="N10" s="28" t="n">
        <v>12.02</v>
      </c>
      <c r="O10" s="38" t="n">
        <v>179.58</v>
      </c>
      <c r="P10" s="28" t="n">
        <v>2.78</v>
      </c>
      <c r="Q10" s="38" t="n">
        <v>30.83</v>
      </c>
      <c r="R10" s="28" t="n">
        <v>1.17</v>
      </c>
      <c r="S10" s="38" t="n">
        <v>23.86</v>
      </c>
      <c r="T10" s="28" t="n">
        <v>2.24</v>
      </c>
      <c r="U10" s="38" t="n">
        <v>30.27</v>
      </c>
      <c r="V10" s="1" t="n">
        <v>0</v>
      </c>
    </row>
    <row r="11" customFormat="1" s="15">
      <c r="A11" s="34" t="inlineStr">
        <is>
          <t>Série</t>
        </is>
      </c>
      <c r="B11" s="83" t="n">
        <v>1.29</v>
      </c>
      <c r="C11" s="84" t="n">
        <v>30.29</v>
      </c>
      <c r="D11" s="85" t="n">
        <v>8.720000000000001</v>
      </c>
      <c r="E11" s="86" t="n">
        <v>138.57</v>
      </c>
      <c r="F11" s="84" t="n">
        <v>4.79</v>
      </c>
      <c r="G11" s="86" t="n">
        <v>68.45999999999999</v>
      </c>
      <c r="H11" s="84" t="n">
        <v>13.09</v>
      </c>
      <c r="I11" s="86" t="n">
        <v>170.78</v>
      </c>
      <c r="J11" s="84" t="n">
        <v>8.890000000000001</v>
      </c>
      <c r="K11" s="86" t="n">
        <v>120.42</v>
      </c>
      <c r="L11" s="84" t="n">
        <v>8.890000000000001</v>
      </c>
      <c r="M11" s="86" t="n">
        <v>120.42</v>
      </c>
      <c r="N11" s="84" t="n">
        <v>12.02</v>
      </c>
      <c r="O11" s="86" t="n">
        <v>179.58</v>
      </c>
      <c r="P11" s="84" t="n">
        <v>2.78</v>
      </c>
      <c r="Q11" s="86" t="n">
        <v>30.83</v>
      </c>
      <c r="R11" s="84" t="n">
        <v>1.17</v>
      </c>
      <c r="S11" s="86" t="n">
        <v>23.86</v>
      </c>
      <c r="T11" s="84" t="n">
        <v>2.24</v>
      </c>
      <c r="U11" s="86" t="n">
        <v>30.27</v>
      </c>
      <c r="V11" s="14" t="n">
        <v>30.27</v>
      </c>
    </row>
    <row r="12" customFormat="1" s="15">
      <c r="A12" s="34" t="inlineStr">
        <is>
          <t>Proto</t>
        </is>
      </c>
      <c r="B12" s="83" t="n">
        <v>2.86</v>
      </c>
      <c r="C12" s="84" t="n">
        <v>38.17</v>
      </c>
      <c r="D12" s="85" t="n">
        <v>0.27</v>
      </c>
      <c r="E12" s="86" t="n">
        <v>0.58</v>
      </c>
      <c r="F12" s="84" t="n">
        <v>0.33</v>
      </c>
      <c r="G12" s="86" t="n">
        <v>0.58</v>
      </c>
      <c r="H12" s="84" t="n">
        <v>0.01</v>
      </c>
      <c r="I12" s="86" t="n">
        <v>0.46</v>
      </c>
      <c r="J12" s="84" t="n">
        <v>0</v>
      </c>
      <c r="K12" s="86" t="n">
        <v>0</v>
      </c>
      <c r="L12" s="84" t="n">
        <v>0</v>
      </c>
      <c r="M12" s="86" t="n">
        <v>0</v>
      </c>
      <c r="N12" s="84" t="n">
        <v>0</v>
      </c>
      <c r="O12" s="86" t="n">
        <v>0</v>
      </c>
      <c r="P12" s="84" t="n">
        <v>0</v>
      </c>
      <c r="Q12" s="86" t="n">
        <v>0</v>
      </c>
      <c r="R12" s="84" t="n">
        <v>0</v>
      </c>
      <c r="S12" s="86" t="n">
        <v>0</v>
      </c>
      <c r="T12" s="84" t="n">
        <v>0</v>
      </c>
      <c r="U12" s="86" t="n">
        <v>0</v>
      </c>
      <c r="V12" s="14" t="n">
        <v>0</v>
      </c>
    </row>
    <row r="13">
      <c r="A13" s="35" t="inlineStr">
        <is>
          <t>R1</t>
        </is>
      </c>
      <c r="B13" s="16" t="n">
        <v>10.75</v>
      </c>
      <c r="C13" s="28" t="n">
        <v>1014.74</v>
      </c>
      <c r="D13" s="37" t="n">
        <v>2.3</v>
      </c>
      <c r="E13" s="38" t="n">
        <v>326.64</v>
      </c>
      <c r="F13" s="28" t="n">
        <v>2.43</v>
      </c>
      <c r="G13" s="38" t="n">
        <v>401.69</v>
      </c>
      <c r="H13" s="28" t="n">
        <v>7.16</v>
      </c>
      <c r="I13" s="38" t="n">
        <v>936.37</v>
      </c>
      <c r="J13" s="28" t="n">
        <v>2.6</v>
      </c>
      <c r="K13" s="38" t="n">
        <v>409.51</v>
      </c>
      <c r="L13" s="28" t="n">
        <v>5.28</v>
      </c>
      <c r="M13" s="38" t="n">
        <v>586.4400000000001</v>
      </c>
      <c r="N13" s="28" t="n">
        <v>2.18</v>
      </c>
      <c r="O13" s="38" t="n">
        <v>324.42</v>
      </c>
      <c r="P13" s="28" t="n">
        <v>5.78</v>
      </c>
      <c r="Q13" s="38" t="n">
        <v>892.04</v>
      </c>
      <c r="R13" s="28" t="n">
        <v>2.85</v>
      </c>
      <c r="S13" s="38" t="n">
        <v>399.03</v>
      </c>
      <c r="T13" s="28" t="n">
        <v>2.8</v>
      </c>
      <c r="U13" s="38" t="n">
        <v>410.28</v>
      </c>
      <c r="V13" s="1" t="n">
        <v>0</v>
      </c>
    </row>
    <row r="14" customFormat="1" s="15">
      <c r="A14" s="34" t="inlineStr">
        <is>
          <t>Série</t>
        </is>
      </c>
      <c r="B14" s="83" t="n">
        <v>5.85</v>
      </c>
      <c r="C14" s="84" t="n">
        <v>781.66</v>
      </c>
      <c r="D14" s="85" t="n">
        <v>2.21</v>
      </c>
      <c r="E14" s="86" t="n">
        <v>322.14</v>
      </c>
      <c r="F14" s="84" t="n">
        <v>2.24</v>
      </c>
      <c r="G14" s="86" t="n">
        <v>391.69</v>
      </c>
      <c r="H14" s="84" t="n">
        <v>6.72</v>
      </c>
      <c r="I14" s="86" t="n">
        <v>905.37</v>
      </c>
      <c r="J14" s="84" t="n">
        <v>2.44</v>
      </c>
      <c r="K14" s="86" t="n">
        <v>403.51</v>
      </c>
      <c r="L14" s="84" t="n">
        <v>3.67</v>
      </c>
      <c r="M14" s="86" t="n">
        <v>527.4400000000001</v>
      </c>
      <c r="N14" s="84" t="n">
        <v>1.96</v>
      </c>
      <c r="O14" s="86" t="n">
        <v>318.02</v>
      </c>
      <c r="P14" s="84" t="n">
        <v>5.78</v>
      </c>
      <c r="Q14" s="86" t="n">
        <v>892.04</v>
      </c>
      <c r="R14" s="84" t="n">
        <v>2.85</v>
      </c>
      <c r="S14" s="86" t="n">
        <v>399.03</v>
      </c>
      <c r="T14" s="84" t="n">
        <v>2.53</v>
      </c>
      <c r="U14" s="86" t="n">
        <v>400.28</v>
      </c>
      <c r="V14" s="14" t="n">
        <v>400.28</v>
      </c>
    </row>
    <row r="15" customFormat="1" s="15">
      <c r="A15" s="34" t="inlineStr">
        <is>
          <t>Proto</t>
        </is>
      </c>
      <c r="B15" s="83" t="n">
        <v>4.9</v>
      </c>
      <c r="C15" s="84" t="n">
        <v>233.08</v>
      </c>
      <c r="D15" s="85" t="n">
        <v>0.09</v>
      </c>
      <c r="E15" s="86" t="n">
        <v>4.5</v>
      </c>
      <c r="F15" s="84" t="n">
        <v>0.19</v>
      </c>
      <c r="G15" s="86" t="n">
        <v>10</v>
      </c>
      <c r="H15" s="84" t="n">
        <v>0.44</v>
      </c>
      <c r="I15" s="86" t="n">
        <v>31</v>
      </c>
      <c r="J15" s="84" t="n">
        <v>0.16</v>
      </c>
      <c r="K15" s="86" t="n">
        <v>6</v>
      </c>
      <c r="L15" s="84" t="n">
        <v>1.61</v>
      </c>
      <c r="M15" s="86" t="n">
        <v>59</v>
      </c>
      <c r="N15" s="84" t="n">
        <v>0.22</v>
      </c>
      <c r="O15" s="86" t="n">
        <v>6.4</v>
      </c>
      <c r="P15" s="84" t="n">
        <v>0</v>
      </c>
      <c r="Q15" s="86" t="n">
        <v>0</v>
      </c>
      <c r="R15" s="84" t="n">
        <v>0</v>
      </c>
      <c r="S15" s="86" t="n">
        <v>0</v>
      </c>
      <c r="T15" s="84" t="n">
        <v>0.27</v>
      </c>
      <c r="U15" s="86" t="n">
        <v>10</v>
      </c>
      <c r="V15" s="14" t="n">
        <v>10</v>
      </c>
    </row>
    <row r="16">
      <c r="A16" s="35" t="inlineStr">
        <is>
          <t>R6</t>
        </is>
      </c>
      <c r="B16" s="16" t="n">
        <v>4.58</v>
      </c>
      <c r="C16" s="28" t="n">
        <v>719</v>
      </c>
      <c r="D16" s="37" t="n">
        <v>3.09</v>
      </c>
      <c r="E16" s="38" t="n">
        <v>523.03</v>
      </c>
      <c r="F16" s="28" t="n">
        <v>2.87</v>
      </c>
      <c r="G16" s="38" t="n">
        <v>417.94</v>
      </c>
      <c r="H16" s="28" t="n">
        <v>2.96</v>
      </c>
      <c r="I16" s="38" t="n">
        <v>486.75</v>
      </c>
      <c r="J16" s="28" t="n">
        <v>4.06</v>
      </c>
      <c r="K16" s="38" t="n">
        <v>608.55</v>
      </c>
      <c r="L16" s="28" t="n">
        <v>1.84</v>
      </c>
      <c r="M16" s="38" t="n">
        <v>307.7</v>
      </c>
      <c r="N16" s="28" t="n">
        <v>2.9</v>
      </c>
      <c r="O16" s="38" t="n">
        <v>513.63</v>
      </c>
      <c r="P16" s="28" t="n">
        <v>2.61</v>
      </c>
      <c r="Q16" s="38" t="n">
        <v>383.92</v>
      </c>
      <c r="R16" s="28" t="n">
        <v>2</v>
      </c>
      <c r="S16" s="38" t="n">
        <v>322.07</v>
      </c>
      <c r="T16" s="28" t="n">
        <v>2.01</v>
      </c>
      <c r="U16" s="38" t="n">
        <v>335.57</v>
      </c>
      <c r="V16" s="1" t="n">
        <v>10</v>
      </c>
    </row>
    <row r="17" customFormat="1" s="15">
      <c r="A17" s="34" t="inlineStr">
        <is>
          <t>Série</t>
        </is>
      </c>
      <c r="B17" s="83" t="n">
        <v>4.55</v>
      </c>
      <c r="C17" s="88" t="n">
        <v>718.3200000000001</v>
      </c>
      <c r="D17" s="84" t="n">
        <v>3.04</v>
      </c>
      <c r="E17" s="88" t="n">
        <v>516.03</v>
      </c>
      <c r="F17" s="84" t="n">
        <v>2.87</v>
      </c>
      <c r="G17" s="88" t="n">
        <v>417.94</v>
      </c>
      <c r="H17" s="83" t="n">
        <v>2.96</v>
      </c>
      <c r="I17" s="88" t="n">
        <v>486.75</v>
      </c>
      <c r="J17" s="83" t="n">
        <v>4.06</v>
      </c>
      <c r="K17" s="88" t="n">
        <v>608.55</v>
      </c>
      <c r="L17" s="83" t="n">
        <v>1.84</v>
      </c>
      <c r="M17" s="88" t="n">
        <v>307.7</v>
      </c>
      <c r="N17" s="83" t="n">
        <v>2.9</v>
      </c>
      <c r="O17" s="88" t="n">
        <v>513.63</v>
      </c>
      <c r="P17" s="83" t="n">
        <v>2.61</v>
      </c>
      <c r="Q17" s="88" t="n">
        <v>383.92</v>
      </c>
      <c r="R17" s="83" t="n">
        <v>2</v>
      </c>
      <c r="S17" s="88" t="n">
        <v>322.07</v>
      </c>
      <c r="T17" s="83" t="n">
        <v>2.01</v>
      </c>
      <c r="U17" s="88" t="n">
        <v>335.57</v>
      </c>
      <c r="V17" s="14" t="n">
        <v>335.57</v>
      </c>
    </row>
    <row r="18" ht="15" customFormat="1" customHeight="1" s="15" thickBot="1">
      <c r="A18" s="34" t="inlineStr">
        <is>
          <t>Proto</t>
        </is>
      </c>
      <c r="B18" s="83" t="n">
        <v>0.03</v>
      </c>
      <c r="C18" s="88" t="n">
        <v>0.6899999999999999</v>
      </c>
      <c r="D18" s="89" t="n">
        <v>0.05</v>
      </c>
      <c r="E18" s="90" t="n">
        <v>7</v>
      </c>
      <c r="F18" s="84" t="n">
        <v>0</v>
      </c>
      <c r="G18" s="88" t="n">
        <v>0</v>
      </c>
      <c r="H18" s="83" t="n">
        <v>0</v>
      </c>
      <c r="I18" s="88" t="n">
        <v>0</v>
      </c>
      <c r="J18" s="83" t="n">
        <v>0</v>
      </c>
      <c r="K18" s="88" t="n">
        <v>0</v>
      </c>
      <c r="L18" s="83" t="n">
        <v>0</v>
      </c>
      <c r="M18" s="88" t="n">
        <v>0</v>
      </c>
      <c r="N18" s="83" t="n">
        <v>0</v>
      </c>
      <c r="O18" s="88" t="n">
        <v>0</v>
      </c>
      <c r="P18" s="83" t="n">
        <v>0</v>
      </c>
      <c r="Q18" s="88" t="n">
        <v>0</v>
      </c>
      <c r="R18" s="83" t="n">
        <v>0</v>
      </c>
      <c r="S18" s="88" t="n">
        <v>0</v>
      </c>
      <c r="T18" s="83" t="n">
        <v>0</v>
      </c>
      <c r="U18" s="88" t="n">
        <v>0</v>
      </c>
      <c r="V18" s="14" t="n">
        <v>0</v>
      </c>
    </row>
    <row r="19" ht="15" customFormat="1" customHeight="1" s="10" thickBot="1">
      <c r="A19" s="32" t="inlineStr">
        <is>
          <t>Total</t>
        </is>
      </c>
      <c r="B19" s="12" t="n">
        <v>94.61</v>
      </c>
      <c r="C19" s="13" t="n">
        <v>9575.73</v>
      </c>
      <c r="D19" s="30" t="n">
        <v>31.56</v>
      </c>
      <c r="E19" s="13" t="n">
        <v>1122.05</v>
      </c>
      <c r="F19" s="30" t="n">
        <v>17.31</v>
      </c>
      <c r="G19" s="13" t="n">
        <v>1221.69</v>
      </c>
      <c r="H19" s="12" t="n">
        <v>37.49</v>
      </c>
      <c r="I19" s="13" t="n">
        <v>2021.03</v>
      </c>
      <c r="J19" s="12" t="n">
        <v>18.54</v>
      </c>
      <c r="K19" s="13" t="n">
        <v>1330.83</v>
      </c>
      <c r="L19" s="12" t="n">
        <v>20.69</v>
      </c>
      <c r="M19" s="13" t="n">
        <v>1233.37</v>
      </c>
      <c r="N19" s="12" t="n">
        <v>21.29</v>
      </c>
      <c r="O19" s="13" t="n">
        <v>1298.24</v>
      </c>
      <c r="P19" s="12" t="n">
        <v>19.74</v>
      </c>
      <c r="Q19" s="13" t="n">
        <v>1640.13</v>
      </c>
      <c r="R19" s="12" t="n">
        <v>10.21</v>
      </c>
      <c r="S19" s="13" t="n">
        <v>919.77</v>
      </c>
      <c r="T19" s="12" t="n">
        <v>11.54</v>
      </c>
      <c r="U19" s="13" t="n">
        <v>1062.72</v>
      </c>
      <c r="V19" t="n">
        <v>0</v>
      </c>
      <c r="W19" s="1" t="n"/>
      <c r="X19" s="1" t="n"/>
      <c r="Y19" s="1" t="n"/>
      <c r="Z19" s="1" t="n"/>
      <c r="AA19" s="1" t="n"/>
      <c r="AB19" s="1" t="n"/>
      <c r="AC19" s="1" t="n"/>
      <c r="AD19" s="1" t="n"/>
      <c r="AE19" s="1" t="n"/>
      <c r="AF19" s="1" t="n"/>
      <c r="AG19" s="1" t="n"/>
      <c r="AH19" s="1" t="n"/>
      <c r="AI19" s="1" t="n"/>
      <c r="AJ19" s="1" t="n"/>
      <c r="AK19" s="1" t="n"/>
      <c r="AL19" s="1" t="n"/>
      <c r="AM19" s="1" t="n"/>
      <c r="AN19" s="1" t="n"/>
      <c r="AO19" s="1" t="n"/>
      <c r="AP19" s="1" t="n"/>
      <c r="AQ19" s="1" t="n"/>
      <c r="AR19" s="1" t="n"/>
      <c r="AS19" s="1" t="n"/>
      <c r="AT19" s="1" t="n"/>
      <c r="AU19" s="1" t="n"/>
      <c r="AV19" s="1" t="n"/>
      <c r="AW19" s="1" t="n"/>
      <c r="AX19" s="1" t="n"/>
      <c r="AY19" s="1" t="n"/>
      <c r="AZ19" s="1" t="n"/>
      <c r="BA19" s="1" t="n"/>
      <c r="BB19" s="1" t="n"/>
      <c r="BC19" s="1" t="n"/>
      <c r="BD19" s="1" t="n"/>
      <c r="BE19" s="1" t="n"/>
      <c r="BF19" s="1" t="n"/>
      <c r="BG19" s="1" t="n"/>
      <c r="BH19" s="1" t="n"/>
      <c r="BI19" s="1" t="n"/>
      <c r="BJ19" s="1" t="n"/>
      <c r="BK19" s="1" t="n"/>
      <c r="BL19" s="1" t="n"/>
      <c r="BM19" s="1" t="n"/>
      <c r="BN19" s="1" t="n"/>
      <c r="BO19" s="1" t="n"/>
      <c r="BP19" s="1" t="n"/>
      <c r="BQ19" s="1" t="n"/>
      <c r="BR19" s="1" t="n"/>
      <c r="BS19" s="1" t="n"/>
      <c r="BT19" s="1" t="n"/>
      <c r="BU19" s="1" t="n"/>
      <c r="BV19" s="1" t="n"/>
      <c r="BW19" s="1" t="n"/>
      <c r="BX19" s="1" t="n"/>
      <c r="BY19" s="1" t="n"/>
      <c r="BZ19" s="1" t="n"/>
      <c r="CA19" s="1" t="n"/>
      <c r="CB19" s="1" t="n"/>
      <c r="CC19" s="1" t="n"/>
      <c r="CD19" s="1" t="n"/>
      <c r="CE19" s="1" t="n"/>
      <c r="CF19" s="1" t="n"/>
      <c r="CG19" s="1" t="n"/>
      <c r="CH19" s="1" t="n"/>
      <c r="CI19" s="1" t="n"/>
      <c r="CJ19" s="1" t="n"/>
      <c r="CK19" s="1" t="n"/>
      <c r="CL19" s="1" t="n"/>
      <c r="CM19" s="1" t="n"/>
      <c r="CN19" s="1" t="n"/>
      <c r="CO19" s="1" t="n"/>
      <c r="CP19" s="1" t="n"/>
      <c r="CQ19" s="1" t="n"/>
      <c r="CR19" s="1" t="n"/>
      <c r="CS19" s="1" t="n"/>
      <c r="CT19" s="1" t="n"/>
    </row>
    <row r="20" ht="15" customHeight="1" thickBot="1"/>
    <row r="21" ht="15" customHeight="1" thickBot="1">
      <c r="D21" s="91" t="inlineStr">
        <is>
          <t>Avance/Retard (semaine)</t>
        </is>
      </c>
      <c r="E21" s="78" t="n"/>
      <c r="F21" s="91" t="inlineStr">
        <is>
          <t>Avance/Retard (semaine) cumulé</t>
        </is>
      </c>
      <c r="G21" s="78" t="n"/>
      <c r="H21" s="91" t="inlineStr">
        <is>
          <t>Avance/Retard (semaine) cumulé</t>
        </is>
      </c>
      <c r="I21" s="78" t="n"/>
      <c r="J21" s="91" t="inlineStr">
        <is>
          <t>Avance/Retard (semaine) cumulé</t>
        </is>
      </c>
      <c r="K21" s="78" t="n"/>
      <c r="L21" s="91" t="inlineStr">
        <is>
          <t>Avance/Retard (semaine) cumulé</t>
        </is>
      </c>
      <c r="M21" s="78" t="n"/>
      <c r="N21" s="91" t="inlineStr">
        <is>
          <t>Avance/Retard (semaine) cumulé</t>
        </is>
      </c>
      <c r="O21" s="78" t="n"/>
      <c r="P21" s="91" t="inlineStr">
        <is>
          <t>Avance/Retard (semaine) cumulé</t>
        </is>
      </c>
      <c r="Q21" s="78" t="n"/>
      <c r="R21" s="91" t="inlineStr">
        <is>
          <t>Avance/Retard (semaine) cumulé</t>
        </is>
      </c>
      <c r="S21" s="78" t="n"/>
      <c r="T21" s="91" t="inlineStr">
        <is>
          <t>Avance/Retard (semaine) cumulé</t>
        </is>
      </c>
      <c r="U21" s="78" t="n"/>
    </row>
    <row r="22" ht="15" customHeight="1" thickBot="1">
      <c r="D22" s="2" t="inlineStr">
        <is>
          <t>Postes</t>
        </is>
      </c>
      <c r="E22" s="2" t="inlineStr">
        <is>
          <t>Tonnes</t>
        </is>
      </c>
      <c r="F22" s="2" t="inlineStr">
        <is>
          <t>Postes</t>
        </is>
      </c>
      <c r="G22" s="2" t="inlineStr">
        <is>
          <t>Tonnes</t>
        </is>
      </c>
      <c r="H22" s="2" t="inlineStr">
        <is>
          <t>Postes</t>
        </is>
      </c>
      <c r="I22" s="2" t="inlineStr">
        <is>
          <t>Tonnes</t>
        </is>
      </c>
      <c r="J22" s="2" t="inlineStr">
        <is>
          <t>Postes</t>
        </is>
      </c>
      <c r="K22" s="2" t="inlineStr">
        <is>
          <t>Tonnes</t>
        </is>
      </c>
      <c r="L22" s="2" t="inlineStr">
        <is>
          <t>Postes</t>
        </is>
      </c>
      <c r="M22" s="2" t="inlineStr">
        <is>
          <t>Tonnes</t>
        </is>
      </c>
      <c r="N22" s="2" t="inlineStr">
        <is>
          <t>Postes</t>
        </is>
      </c>
      <c r="O22" s="2" t="inlineStr">
        <is>
          <t>Tonnes</t>
        </is>
      </c>
      <c r="P22" s="2" t="inlineStr">
        <is>
          <t>Postes</t>
        </is>
      </c>
      <c r="Q22" s="2" t="inlineStr">
        <is>
          <t>Tonnes</t>
        </is>
      </c>
      <c r="R22" s="2" t="inlineStr">
        <is>
          <t>Postes</t>
        </is>
      </c>
      <c r="S22" s="2" t="inlineStr">
        <is>
          <t>Tonnes</t>
        </is>
      </c>
      <c r="T22" s="2" t="inlineStr">
        <is>
          <t>Postes</t>
        </is>
      </c>
      <c r="U22" s="2" t="inlineStr">
        <is>
          <t>Tonnes</t>
        </is>
      </c>
    </row>
    <row r="23">
      <c r="D23" s="22">
        <f>E30-D4</f>
        <v/>
      </c>
      <c r="E23" s="22">
        <f>D23/D4*E4</f>
        <v/>
      </c>
      <c r="F23" s="22">
        <f>G30-F4+D23</f>
        <v/>
      </c>
      <c r="G23" s="22">
        <f>F23/F4*G4</f>
        <v/>
      </c>
      <c r="H23" s="22">
        <f>I30-H4+F23</f>
        <v/>
      </c>
      <c r="I23" s="22">
        <f>H23/H4*I4</f>
        <v/>
      </c>
      <c r="J23" s="22">
        <f>K30-J4+H23</f>
        <v/>
      </c>
      <c r="K23" s="22">
        <f>J23/J4*K4</f>
        <v/>
      </c>
      <c r="L23" s="22">
        <f>M30-L4+J23</f>
        <v/>
      </c>
      <c r="M23" s="22">
        <f>L23/L4*M4</f>
        <v/>
      </c>
      <c r="N23" s="22">
        <f>O30-N4+L23</f>
        <v/>
      </c>
      <c r="O23" s="22">
        <f>N23/N4*O4</f>
        <v/>
      </c>
      <c r="P23" s="22">
        <f>Q30-P4+N23</f>
        <v/>
      </c>
      <c r="Q23" s="22">
        <f>P23/P4*Q4</f>
        <v/>
      </c>
      <c r="R23" s="22">
        <f>S30-R4+P23</f>
        <v/>
      </c>
      <c r="S23" s="22">
        <f>R23/R4*S4</f>
        <v/>
      </c>
      <c r="T23" s="22">
        <f>U30-T4+R23</f>
        <v/>
      </c>
      <c r="U23" s="22">
        <f>T23/T4*U4</f>
        <v/>
      </c>
    </row>
    <row r="24">
      <c r="D24" s="22">
        <f>E31-D7</f>
        <v/>
      </c>
      <c r="E24" s="22">
        <f>IFERROR(D24/D7*E7,0)</f>
        <v/>
      </c>
      <c r="F24" s="22">
        <f>G31-F7+D24</f>
        <v/>
      </c>
      <c r="G24" s="22">
        <f>IFERROR(F24/F7*G7,0)</f>
        <v/>
      </c>
      <c r="H24" s="22">
        <f>I31-H7+F24</f>
        <v/>
      </c>
      <c r="I24" s="22">
        <f>IFERROR(H24/H7*I7,0)</f>
        <v/>
      </c>
      <c r="J24" s="22">
        <f>K31-J7+H24</f>
        <v/>
      </c>
      <c r="K24" s="22">
        <f>IFERROR(J24/J7*K7,0)</f>
        <v/>
      </c>
      <c r="L24" s="22">
        <f>M31-L7+J24</f>
        <v/>
      </c>
      <c r="M24" s="22">
        <f>IFERROR(L24/L7*M7,0)</f>
        <v/>
      </c>
      <c r="N24" s="22">
        <f>O31-N7+L24</f>
        <v/>
      </c>
      <c r="O24" s="22">
        <f>IFERROR(N24/N7*O7,0)</f>
        <v/>
      </c>
      <c r="P24" s="22">
        <f>Q31-P7+N24</f>
        <v/>
      </c>
      <c r="Q24" s="22">
        <f>IFERROR(P24/P7*Q7,0)</f>
        <v/>
      </c>
      <c r="R24" s="22">
        <f>S31-R7+P24</f>
        <v/>
      </c>
      <c r="S24" s="22">
        <f>IFERROR(R24/R7*S7,0)</f>
        <v/>
      </c>
      <c r="T24" s="22">
        <f>U31-T7+R24</f>
        <v/>
      </c>
      <c r="U24" s="22">
        <f>IFERROR(T24/T7*U7,0)</f>
        <v/>
      </c>
    </row>
    <row r="25">
      <c r="D25" s="22">
        <f>E32-D10</f>
        <v/>
      </c>
      <c r="E25" s="22">
        <f>D25/D10*E10</f>
        <v/>
      </c>
      <c r="F25" s="22">
        <f>G32-F10+D25</f>
        <v/>
      </c>
      <c r="G25" s="22">
        <f>F25/F10*G10</f>
        <v/>
      </c>
      <c r="H25" s="22">
        <f>I32-H10+F25</f>
        <v/>
      </c>
      <c r="I25" s="22">
        <f>H25/H10*I10</f>
        <v/>
      </c>
      <c r="J25" s="22">
        <f>K32-J10+H25</f>
        <v/>
      </c>
      <c r="K25" s="22">
        <f>J25/J10*K10</f>
        <v/>
      </c>
      <c r="L25" s="22">
        <f>M32-L10+J25</f>
        <v/>
      </c>
      <c r="M25" s="22">
        <f>L25/L10*M10</f>
        <v/>
      </c>
      <c r="N25" s="22">
        <f>O32-N10+L25</f>
        <v/>
      </c>
      <c r="O25" s="22">
        <f>N25/N10*O10</f>
        <v/>
      </c>
      <c r="P25" s="22">
        <f>Q32-P10+N25</f>
        <v/>
      </c>
      <c r="Q25" s="22">
        <f>P25/P10*Q10</f>
        <v/>
      </c>
      <c r="R25" s="22">
        <f>S32-R10+P25</f>
        <v/>
      </c>
      <c r="S25" s="22">
        <f>R25/R10*S10</f>
        <v/>
      </c>
      <c r="T25" s="22">
        <f>U32-T10+R25</f>
        <v/>
      </c>
      <c r="U25" s="22">
        <f>T25/T10*U10</f>
        <v/>
      </c>
    </row>
    <row r="26">
      <c r="D26" s="22">
        <f>E33-D13</f>
        <v/>
      </c>
      <c r="E26" s="22">
        <f>D26/D13*E13</f>
        <v/>
      </c>
      <c r="F26" s="22">
        <f>G33-F13+D26</f>
        <v/>
      </c>
      <c r="G26" s="22">
        <f>F26/F13*G13</f>
        <v/>
      </c>
      <c r="H26" s="22">
        <f>I33-H13+F26</f>
        <v/>
      </c>
      <c r="I26" s="22">
        <f>H26/H13*I13</f>
        <v/>
      </c>
      <c r="J26" s="22">
        <f>K33-J13+H26</f>
        <v/>
      </c>
      <c r="K26" s="22">
        <f>J26/J13*K13</f>
        <v/>
      </c>
      <c r="L26" s="22">
        <f>M33-L13+J26</f>
        <v/>
      </c>
      <c r="M26" s="22">
        <f>L26/L13*M13</f>
        <v/>
      </c>
      <c r="N26" s="22">
        <f>O33-N13+L26</f>
        <v/>
      </c>
      <c r="O26" s="22">
        <f>N26/N13*O13</f>
        <v/>
      </c>
      <c r="P26" s="22">
        <f>Q33-P13+N26</f>
        <v/>
      </c>
      <c r="Q26" s="22">
        <f>P26/P13*Q13</f>
        <v/>
      </c>
      <c r="R26" s="22">
        <f>S33-R13+P26</f>
        <v/>
      </c>
      <c r="S26" s="22">
        <f>R26/R13*S13</f>
        <v/>
      </c>
      <c r="T26" s="22">
        <f>U33-T13+R26</f>
        <v/>
      </c>
      <c r="U26" s="22">
        <f>T26/T13*U13</f>
        <v/>
      </c>
    </row>
    <row r="27" ht="15" customHeight="1" thickBot="1">
      <c r="D27" s="23">
        <f>E34-D16</f>
        <v/>
      </c>
      <c r="E27" s="23">
        <f>D27/D16*E16</f>
        <v/>
      </c>
      <c r="F27" s="23">
        <f>G34-F16+D27</f>
        <v/>
      </c>
      <c r="G27" s="23">
        <f>F27/F16*G16</f>
        <v/>
      </c>
      <c r="H27" s="23">
        <f>I34-H16+F27</f>
        <v/>
      </c>
      <c r="I27" s="23">
        <f>H27/H16*I16</f>
        <v/>
      </c>
      <c r="J27" s="23">
        <f>K34-J16+H27</f>
        <v/>
      </c>
      <c r="K27" s="23">
        <f>J27/J16*K16</f>
        <v/>
      </c>
      <c r="L27" s="23">
        <f>M34-L16+J27</f>
        <v/>
      </c>
      <c r="M27" s="23">
        <f>L27/L16*M16</f>
        <v/>
      </c>
      <c r="N27" s="23">
        <f>O34-N16+L27</f>
        <v/>
      </c>
      <c r="O27" s="23">
        <f>N27/N16*O16</f>
        <v/>
      </c>
      <c r="P27" s="23">
        <f>Q34-P16+N27</f>
        <v/>
      </c>
      <c r="Q27" s="23">
        <f>P27/P16*Q16</f>
        <v/>
      </c>
      <c r="R27" s="23">
        <f>S34-R16+P27</f>
        <v/>
      </c>
      <c r="S27" s="23">
        <f>R27/R16*S16</f>
        <v/>
      </c>
      <c r="T27" s="23">
        <f>U34-T16+R27</f>
        <v/>
      </c>
      <c r="U27" s="23">
        <f>T27/T16*U16</f>
        <v/>
      </c>
    </row>
    <row r="28" ht="15" customHeight="1" thickBot="1"/>
    <row r="29" ht="15" customHeight="1" thickBot="1">
      <c r="D29" s="75" t="inlineStr">
        <is>
          <t>Programmation Semaine :</t>
        </is>
      </c>
      <c r="E29" s="76" t="n"/>
      <c r="F29" s="75" t="inlineStr">
        <is>
          <t>Programmation Semaine W1:</t>
        </is>
      </c>
      <c r="G29" s="76" t="n"/>
      <c r="H29" s="75" t="inlineStr">
        <is>
          <t>Programmation Semaine W2:</t>
        </is>
      </c>
      <c r="I29" s="76" t="n"/>
      <c r="J29" s="75" t="inlineStr">
        <is>
          <t>Programmation Semaine W3:</t>
        </is>
      </c>
      <c r="K29" s="76" t="n"/>
      <c r="L29" s="75" t="inlineStr">
        <is>
          <t>Programmation Semaine W4:</t>
        </is>
      </c>
      <c r="M29" s="76" t="n"/>
      <c r="N29" s="75" t="inlineStr">
        <is>
          <t>Programmation Semaine W5:</t>
        </is>
      </c>
      <c r="O29" s="76" t="n"/>
      <c r="P29" s="75" t="inlineStr">
        <is>
          <t>Programmation Semaine W6:</t>
        </is>
      </c>
      <c r="Q29" s="76" t="n"/>
      <c r="R29" s="75" t="inlineStr">
        <is>
          <t>Programmation Semaine W7:</t>
        </is>
      </c>
      <c r="S29" s="76" t="n"/>
      <c r="T29" s="75" t="inlineStr">
        <is>
          <t>Programmation Semaine W8:</t>
        </is>
      </c>
      <c r="U29" s="76" t="n"/>
    </row>
    <row r="30">
      <c r="A30" s="19" t="inlineStr">
        <is>
          <t>L1</t>
        </is>
      </c>
      <c r="D30" s="27" t="n"/>
      <c r="E30" s="20" t="n">
        <v>9.369999999999999</v>
      </c>
      <c r="F30" s="3" t="n"/>
      <c r="G30" s="4" t="n">
        <v>0</v>
      </c>
      <c r="H30" s="3" t="n"/>
      <c r="I30" s="4" t="n">
        <v>0</v>
      </c>
      <c r="J30" s="3" t="n"/>
      <c r="K30" s="4" t="n">
        <v>0</v>
      </c>
      <c r="L30" s="3" t="n"/>
      <c r="M30" s="4" t="n">
        <v>0</v>
      </c>
      <c r="N30" s="3" t="n"/>
      <c r="O30" s="4" t="n">
        <v>0</v>
      </c>
      <c r="P30" s="3" t="n"/>
      <c r="Q30" s="4" t="n">
        <v>0</v>
      </c>
      <c r="R30" s="3" t="n"/>
      <c r="S30" s="4" t="n">
        <v>0</v>
      </c>
      <c r="T30" s="3" t="n"/>
      <c r="U30" s="4" t="n">
        <v>0</v>
      </c>
    </row>
    <row r="31">
      <c r="A31" s="17" t="inlineStr">
        <is>
          <t>LAS1,</t>
        </is>
      </c>
      <c r="D31" s="24" t="n"/>
      <c r="E31" s="21" t="n">
        <v>0.53</v>
      </c>
      <c r="F31" s="3" t="n"/>
      <c r="G31" s="4" t="n">
        <v>0</v>
      </c>
      <c r="H31" s="3" t="n"/>
      <c r="I31" s="4" t="n">
        <v>0</v>
      </c>
      <c r="J31" s="3" t="n"/>
      <c r="K31" s="4" t="n">
        <v>0</v>
      </c>
      <c r="L31" s="3" t="n"/>
      <c r="M31" s="4" t="n">
        <v>0</v>
      </c>
      <c r="N31" s="3" t="n"/>
      <c r="O31" s="4" t="n">
        <v>0</v>
      </c>
      <c r="P31" s="3" t="n"/>
      <c r="Q31" s="4" t="n">
        <v>0</v>
      </c>
      <c r="R31" s="3" t="n"/>
      <c r="S31" s="4" t="n">
        <v>0</v>
      </c>
      <c r="T31" s="3" t="n"/>
      <c r="U31" s="4" t="n">
        <v>0</v>
      </c>
    </row>
    <row r="32">
      <c r="A32" s="17" t="inlineStr">
        <is>
          <t>P3</t>
        </is>
      </c>
      <c r="D32" s="24" t="n"/>
      <c r="E32" s="21" t="n">
        <v>11.74</v>
      </c>
      <c r="F32" s="3" t="n"/>
      <c r="G32" s="4" t="n">
        <v>0</v>
      </c>
      <c r="H32" s="3" t="n"/>
      <c r="I32" s="4" t="n">
        <v>0</v>
      </c>
      <c r="J32" s="3" t="n"/>
      <c r="K32" s="4" t="n">
        <v>0</v>
      </c>
      <c r="L32" s="3" t="n"/>
      <c r="M32" s="4" t="n">
        <v>0</v>
      </c>
      <c r="N32" s="3" t="n"/>
      <c r="O32" s="4" t="n">
        <v>0</v>
      </c>
      <c r="P32" s="3" t="n"/>
      <c r="Q32" s="4" t="n">
        <v>0</v>
      </c>
      <c r="R32" s="3" t="n"/>
      <c r="S32" s="4" t="n">
        <v>0</v>
      </c>
      <c r="T32" s="3" t="n"/>
      <c r="U32" s="4" t="n">
        <v>0</v>
      </c>
    </row>
    <row r="33">
      <c r="A33" s="17" t="inlineStr">
        <is>
          <t>R1</t>
        </is>
      </c>
      <c r="D33" s="24" t="n"/>
      <c r="E33" s="21" t="n">
        <v>4.47</v>
      </c>
      <c r="F33" s="3" t="n"/>
      <c r="G33" s="4" t="n">
        <v>0</v>
      </c>
      <c r="H33" s="3" t="n"/>
      <c r="I33" s="4" t="n">
        <v>0</v>
      </c>
      <c r="J33" s="3" t="n"/>
      <c r="K33" s="4" t="n">
        <v>0</v>
      </c>
      <c r="L33" s="3" t="n"/>
      <c r="M33" s="4" t="n">
        <v>0</v>
      </c>
      <c r="N33" s="3" t="n"/>
      <c r="O33" s="4" t="n">
        <v>0</v>
      </c>
      <c r="P33" s="3" t="n"/>
      <c r="Q33" s="4" t="n">
        <v>0</v>
      </c>
      <c r="R33" s="3" t="n"/>
      <c r="S33" s="4" t="n">
        <v>0</v>
      </c>
      <c r="T33" s="3" t="n"/>
      <c r="U33" s="4" t="n">
        <v>0</v>
      </c>
    </row>
    <row r="34" ht="15" customHeight="1" thickBot="1">
      <c r="A34" s="18" t="inlineStr">
        <is>
          <t>R6</t>
        </is>
      </c>
      <c r="D34" s="25" t="n"/>
      <c r="E34" s="26" t="n">
        <v>6.41</v>
      </c>
      <c r="F34" s="5" t="n"/>
      <c r="G34" s="6" t="n">
        <v>0</v>
      </c>
      <c r="H34" s="5" t="n"/>
      <c r="I34" s="6" t="n">
        <v>0</v>
      </c>
      <c r="J34" s="5" t="n"/>
      <c r="K34" s="6" t="n">
        <v>0</v>
      </c>
      <c r="L34" s="5" t="n"/>
      <c r="M34" s="6" t="n">
        <v>0</v>
      </c>
      <c r="N34" s="5" t="n"/>
      <c r="O34" s="6" t="n">
        <v>0</v>
      </c>
      <c r="P34" s="5" t="n"/>
      <c r="Q34" s="6" t="n">
        <v>0</v>
      </c>
      <c r="R34" s="5" t="n"/>
      <c r="S34" s="6" t="n">
        <v>0</v>
      </c>
      <c r="T34" s="5" t="n"/>
      <c r="U34" s="6" t="n">
        <v>0</v>
      </c>
    </row>
    <row r="35" ht="42" customHeight="1" thickBot="1">
      <c r="D35" s="20" t="n"/>
      <c r="E35" s="26" t="n"/>
      <c r="G35" s="6" t="n"/>
      <c r="I35" s="6" t="n"/>
      <c r="K35" s="6" t="n"/>
      <c r="M35" s="6" t="n"/>
      <c r="O35" s="6" t="n"/>
      <c r="Q35" s="6" t="n"/>
      <c r="S35" s="6" t="n"/>
      <c r="U35" s="6" t="n"/>
    </row>
    <row r="36" ht="15" customHeight="1" thickBot="1">
      <c r="E36" s="44" t="inlineStr">
        <is>
          <t>Reset Prog</t>
        </is>
      </c>
      <c r="G36" s="44" t="inlineStr">
        <is>
          <t>Reset Prog</t>
        </is>
      </c>
      <c r="I36" s="44" t="inlineStr">
        <is>
          <t>Reset Prog</t>
        </is>
      </c>
      <c r="K36" s="44" t="inlineStr">
        <is>
          <t>Reset Prog</t>
        </is>
      </c>
      <c r="M36" s="44" t="inlineStr">
        <is>
          <t>Reset Prog</t>
        </is>
      </c>
      <c r="O36" s="44" t="inlineStr">
        <is>
          <t>Reset Prog</t>
        </is>
      </c>
      <c r="Q36" s="44" t="inlineStr">
        <is>
          <t>Reset Prog</t>
        </is>
      </c>
      <c r="S36" s="44" t="inlineStr">
        <is>
          <t>Reset Prog</t>
        </is>
      </c>
      <c r="U36" s="44" t="inlineStr">
        <is>
          <t>Reset Prog</t>
        </is>
      </c>
    </row>
    <row r="37" ht="15" customHeight="1" thickBot="1"/>
    <row r="38" ht="15" customHeight="1" thickBot="1">
      <c r="E38" s="45" t="inlineStr">
        <is>
          <t>Minimum Prog</t>
        </is>
      </c>
      <c r="G38" s="45" t="inlineStr">
        <is>
          <t>Minimum Prog</t>
        </is>
      </c>
      <c r="I38" s="45" t="inlineStr">
        <is>
          <t>Minimum Prog</t>
        </is>
      </c>
      <c r="K38" s="45" t="inlineStr">
        <is>
          <t>Minimum Prog</t>
        </is>
      </c>
      <c r="M38" s="45" t="inlineStr">
        <is>
          <t>Minimum Prog</t>
        </is>
      </c>
      <c r="O38" s="45" t="inlineStr">
        <is>
          <t>Minimum Prog</t>
        </is>
      </c>
      <c r="Q38" s="45" t="inlineStr">
        <is>
          <t>Minimum Prog</t>
        </is>
      </c>
      <c r="S38" s="45" t="inlineStr">
        <is>
          <t>Minimum Prog</t>
        </is>
      </c>
      <c r="U38" s="45" t="inlineStr">
        <is>
          <t>Minimum Prog</t>
        </is>
      </c>
    </row>
  </sheetData>
  <mergeCells count="28">
    <mergeCell ref="L2:M2"/>
    <mergeCell ref="J29:K29"/>
    <mergeCell ref="P29:Q29"/>
    <mergeCell ref="F29:G29"/>
    <mergeCell ref="R29:S29"/>
    <mergeCell ref="H29:I29"/>
    <mergeCell ref="T29:U29"/>
    <mergeCell ref="D21:E21"/>
    <mergeCell ref="F21:G21"/>
    <mergeCell ref="B2:C2"/>
    <mergeCell ref="N21:O21"/>
    <mergeCell ref="H21:I21"/>
    <mergeCell ref="D2:E2"/>
    <mergeCell ref="P21:Q21"/>
    <mergeCell ref="N2:O2"/>
    <mergeCell ref="P2:Q2"/>
    <mergeCell ref="R21:S21"/>
    <mergeCell ref="T21:U21"/>
    <mergeCell ref="F2:G2"/>
    <mergeCell ref="H2:I2"/>
    <mergeCell ref="L29:M29"/>
    <mergeCell ref="T2:U2"/>
    <mergeCell ref="N29:O29"/>
    <mergeCell ref="J21:K21"/>
    <mergeCell ref="L21:M21"/>
    <mergeCell ref="J2:K2"/>
    <mergeCell ref="D29:E29"/>
    <mergeCell ref="R2:S2"/>
  </mergeCells>
  <conditionalFormatting sqref="D23:U27">
    <cfRule type="cellIs" priority="17" operator="lessThan" dxfId="1">
      <formula>0</formula>
    </cfRule>
    <cfRule type="cellIs" priority="18" operator="greaterThanOrEqual" dxfId="0">
      <formula>0</formula>
    </cfRule>
  </conditionalFormatting>
  <hyperlinks>
    <hyperlink xmlns:r="http://schemas.openxmlformats.org/officeDocument/2006/relationships" ref="B5" r:id="rId1"/>
    <hyperlink xmlns:r="http://schemas.openxmlformats.org/officeDocument/2006/relationships" ref="C5" r:id="rId2"/>
    <hyperlink xmlns:r="http://schemas.openxmlformats.org/officeDocument/2006/relationships" ref="D5" r:id="rId3"/>
    <hyperlink xmlns:r="http://schemas.openxmlformats.org/officeDocument/2006/relationships" ref="E5" r:id="rId4"/>
    <hyperlink xmlns:r="http://schemas.openxmlformats.org/officeDocument/2006/relationships" ref="F5" r:id="rId5"/>
    <hyperlink xmlns:r="http://schemas.openxmlformats.org/officeDocument/2006/relationships" ref="G5" r:id="rId6"/>
    <hyperlink xmlns:r="http://schemas.openxmlformats.org/officeDocument/2006/relationships" ref="H5" r:id="rId7"/>
    <hyperlink xmlns:r="http://schemas.openxmlformats.org/officeDocument/2006/relationships" ref="I5" r:id="rId8"/>
    <hyperlink xmlns:r="http://schemas.openxmlformats.org/officeDocument/2006/relationships" ref="J5" r:id="rId9"/>
    <hyperlink xmlns:r="http://schemas.openxmlformats.org/officeDocument/2006/relationships" ref="K5" r:id="rId10"/>
    <hyperlink xmlns:r="http://schemas.openxmlformats.org/officeDocument/2006/relationships" ref="L5" r:id="rId11"/>
    <hyperlink xmlns:r="http://schemas.openxmlformats.org/officeDocument/2006/relationships" ref="M5" r:id="rId12"/>
    <hyperlink xmlns:r="http://schemas.openxmlformats.org/officeDocument/2006/relationships" ref="N5" r:id="rId13"/>
    <hyperlink xmlns:r="http://schemas.openxmlformats.org/officeDocument/2006/relationships" ref="O5" r:id="rId14"/>
    <hyperlink xmlns:r="http://schemas.openxmlformats.org/officeDocument/2006/relationships" ref="P5" r:id="rId15"/>
    <hyperlink xmlns:r="http://schemas.openxmlformats.org/officeDocument/2006/relationships" ref="Q5" r:id="rId16"/>
    <hyperlink xmlns:r="http://schemas.openxmlformats.org/officeDocument/2006/relationships" ref="R5" r:id="rId17"/>
    <hyperlink xmlns:r="http://schemas.openxmlformats.org/officeDocument/2006/relationships" ref="S5" r:id="rId18"/>
    <hyperlink xmlns:r="http://schemas.openxmlformats.org/officeDocument/2006/relationships" ref="T5" r:id="rId19"/>
    <hyperlink xmlns:r="http://schemas.openxmlformats.org/officeDocument/2006/relationships" ref="U5" r:id="rId20"/>
    <hyperlink xmlns:r="http://schemas.openxmlformats.org/officeDocument/2006/relationships" ref="B6" r:id="rId21"/>
    <hyperlink xmlns:r="http://schemas.openxmlformats.org/officeDocument/2006/relationships" ref="C6" r:id="rId22"/>
    <hyperlink xmlns:r="http://schemas.openxmlformats.org/officeDocument/2006/relationships" ref="D6" r:id="rId23"/>
    <hyperlink xmlns:r="http://schemas.openxmlformats.org/officeDocument/2006/relationships" ref="E6" r:id="rId24"/>
    <hyperlink xmlns:r="http://schemas.openxmlformats.org/officeDocument/2006/relationships" ref="F6" r:id="rId25"/>
    <hyperlink xmlns:r="http://schemas.openxmlformats.org/officeDocument/2006/relationships" ref="G6" r:id="rId26"/>
    <hyperlink xmlns:r="http://schemas.openxmlformats.org/officeDocument/2006/relationships" ref="H6" r:id="rId27"/>
    <hyperlink xmlns:r="http://schemas.openxmlformats.org/officeDocument/2006/relationships" ref="I6" r:id="rId28"/>
    <hyperlink xmlns:r="http://schemas.openxmlformats.org/officeDocument/2006/relationships" ref="J6" r:id="rId29"/>
    <hyperlink xmlns:r="http://schemas.openxmlformats.org/officeDocument/2006/relationships" ref="K6" r:id="rId30"/>
    <hyperlink xmlns:r="http://schemas.openxmlformats.org/officeDocument/2006/relationships" ref="P6" r:id="rId31"/>
    <hyperlink xmlns:r="http://schemas.openxmlformats.org/officeDocument/2006/relationships" ref="Q6" r:id="rId32"/>
    <hyperlink xmlns:r="http://schemas.openxmlformats.org/officeDocument/2006/relationships" ref="T6" r:id="rId33"/>
    <hyperlink xmlns:r="http://schemas.openxmlformats.org/officeDocument/2006/relationships" ref="U6" r:id="rId34"/>
    <hyperlink xmlns:r="http://schemas.openxmlformats.org/officeDocument/2006/relationships" ref="B8" r:id="rId35"/>
    <hyperlink xmlns:r="http://schemas.openxmlformats.org/officeDocument/2006/relationships" ref="C8" r:id="rId36"/>
    <hyperlink xmlns:r="http://schemas.openxmlformats.org/officeDocument/2006/relationships" ref="D8" r:id="rId37"/>
    <hyperlink xmlns:r="http://schemas.openxmlformats.org/officeDocument/2006/relationships" ref="E8" r:id="rId38"/>
    <hyperlink xmlns:r="http://schemas.openxmlformats.org/officeDocument/2006/relationships" ref="H8" r:id="rId39"/>
    <hyperlink xmlns:r="http://schemas.openxmlformats.org/officeDocument/2006/relationships" ref="I8" r:id="rId40"/>
    <hyperlink xmlns:r="http://schemas.openxmlformats.org/officeDocument/2006/relationships" ref="L8" r:id="rId41"/>
    <hyperlink xmlns:r="http://schemas.openxmlformats.org/officeDocument/2006/relationships" ref="M8" r:id="rId42"/>
    <hyperlink xmlns:r="http://schemas.openxmlformats.org/officeDocument/2006/relationships" ref="P8" r:id="rId43"/>
    <hyperlink xmlns:r="http://schemas.openxmlformats.org/officeDocument/2006/relationships" ref="Q8" r:id="rId44"/>
    <hyperlink xmlns:r="http://schemas.openxmlformats.org/officeDocument/2006/relationships" ref="R8" r:id="rId45"/>
    <hyperlink xmlns:r="http://schemas.openxmlformats.org/officeDocument/2006/relationships" ref="S8" r:id="rId46"/>
    <hyperlink xmlns:r="http://schemas.openxmlformats.org/officeDocument/2006/relationships" ref="B9" r:id="rId47"/>
    <hyperlink xmlns:r="http://schemas.openxmlformats.org/officeDocument/2006/relationships" ref="C9" r:id="rId48"/>
    <hyperlink xmlns:r="http://schemas.openxmlformats.org/officeDocument/2006/relationships" ref="D9" r:id="rId49"/>
    <hyperlink xmlns:r="http://schemas.openxmlformats.org/officeDocument/2006/relationships" ref="E9" r:id="rId50"/>
    <hyperlink xmlns:r="http://schemas.openxmlformats.org/officeDocument/2006/relationships" ref="B11" r:id="rId51"/>
    <hyperlink xmlns:r="http://schemas.openxmlformats.org/officeDocument/2006/relationships" ref="C11" r:id="rId52"/>
    <hyperlink xmlns:r="http://schemas.openxmlformats.org/officeDocument/2006/relationships" ref="D11" r:id="rId53"/>
    <hyperlink xmlns:r="http://schemas.openxmlformats.org/officeDocument/2006/relationships" ref="E11" r:id="rId54"/>
    <hyperlink xmlns:r="http://schemas.openxmlformats.org/officeDocument/2006/relationships" ref="F11" r:id="rId55"/>
    <hyperlink xmlns:r="http://schemas.openxmlformats.org/officeDocument/2006/relationships" ref="G11" r:id="rId56"/>
    <hyperlink xmlns:r="http://schemas.openxmlformats.org/officeDocument/2006/relationships" ref="H11" r:id="rId57"/>
    <hyperlink xmlns:r="http://schemas.openxmlformats.org/officeDocument/2006/relationships" ref="I11" r:id="rId58"/>
    <hyperlink xmlns:r="http://schemas.openxmlformats.org/officeDocument/2006/relationships" ref="J11" r:id="rId59"/>
    <hyperlink xmlns:r="http://schemas.openxmlformats.org/officeDocument/2006/relationships" ref="K11" r:id="rId60"/>
    <hyperlink xmlns:r="http://schemas.openxmlformats.org/officeDocument/2006/relationships" ref="L11" r:id="rId61"/>
    <hyperlink xmlns:r="http://schemas.openxmlformats.org/officeDocument/2006/relationships" ref="M11" r:id="rId62"/>
    <hyperlink xmlns:r="http://schemas.openxmlformats.org/officeDocument/2006/relationships" ref="N11" r:id="rId63"/>
    <hyperlink xmlns:r="http://schemas.openxmlformats.org/officeDocument/2006/relationships" ref="O11" r:id="rId64"/>
    <hyperlink xmlns:r="http://schemas.openxmlformats.org/officeDocument/2006/relationships" ref="P11" r:id="rId65"/>
    <hyperlink xmlns:r="http://schemas.openxmlformats.org/officeDocument/2006/relationships" ref="Q11" r:id="rId66"/>
    <hyperlink xmlns:r="http://schemas.openxmlformats.org/officeDocument/2006/relationships" ref="R11" r:id="rId67"/>
    <hyperlink xmlns:r="http://schemas.openxmlformats.org/officeDocument/2006/relationships" ref="S11" r:id="rId68"/>
    <hyperlink xmlns:r="http://schemas.openxmlformats.org/officeDocument/2006/relationships" ref="T11" r:id="rId69"/>
    <hyperlink xmlns:r="http://schemas.openxmlformats.org/officeDocument/2006/relationships" ref="U11" r:id="rId70"/>
    <hyperlink xmlns:r="http://schemas.openxmlformats.org/officeDocument/2006/relationships" ref="B12" r:id="rId71"/>
    <hyperlink xmlns:r="http://schemas.openxmlformats.org/officeDocument/2006/relationships" ref="C12" r:id="rId72"/>
    <hyperlink xmlns:r="http://schemas.openxmlformats.org/officeDocument/2006/relationships" ref="D12" r:id="rId73"/>
    <hyperlink xmlns:r="http://schemas.openxmlformats.org/officeDocument/2006/relationships" ref="E12" r:id="rId74"/>
    <hyperlink xmlns:r="http://schemas.openxmlformats.org/officeDocument/2006/relationships" ref="F12" r:id="rId75"/>
    <hyperlink xmlns:r="http://schemas.openxmlformats.org/officeDocument/2006/relationships" ref="G12" r:id="rId76"/>
    <hyperlink xmlns:r="http://schemas.openxmlformats.org/officeDocument/2006/relationships" ref="H12" r:id="rId77"/>
    <hyperlink xmlns:r="http://schemas.openxmlformats.org/officeDocument/2006/relationships" ref="I12" r:id="rId78"/>
    <hyperlink xmlns:r="http://schemas.openxmlformats.org/officeDocument/2006/relationships" ref="B14" r:id="rId79"/>
    <hyperlink xmlns:r="http://schemas.openxmlformats.org/officeDocument/2006/relationships" ref="C14" r:id="rId80"/>
    <hyperlink xmlns:r="http://schemas.openxmlformats.org/officeDocument/2006/relationships" ref="D14" r:id="rId81"/>
    <hyperlink xmlns:r="http://schemas.openxmlformats.org/officeDocument/2006/relationships" ref="E14" r:id="rId82"/>
    <hyperlink xmlns:r="http://schemas.openxmlformats.org/officeDocument/2006/relationships" ref="F14" r:id="rId83"/>
    <hyperlink xmlns:r="http://schemas.openxmlformats.org/officeDocument/2006/relationships" ref="G14" r:id="rId84"/>
    <hyperlink xmlns:r="http://schemas.openxmlformats.org/officeDocument/2006/relationships" ref="H14" r:id="rId85"/>
    <hyperlink xmlns:r="http://schemas.openxmlformats.org/officeDocument/2006/relationships" ref="I14" r:id="rId86"/>
    <hyperlink xmlns:r="http://schemas.openxmlformats.org/officeDocument/2006/relationships" ref="J14" r:id="rId87"/>
    <hyperlink xmlns:r="http://schemas.openxmlformats.org/officeDocument/2006/relationships" ref="K14" r:id="rId88"/>
    <hyperlink xmlns:r="http://schemas.openxmlformats.org/officeDocument/2006/relationships" ref="L14" r:id="rId89"/>
    <hyperlink xmlns:r="http://schemas.openxmlformats.org/officeDocument/2006/relationships" ref="M14" r:id="rId90"/>
    <hyperlink xmlns:r="http://schemas.openxmlformats.org/officeDocument/2006/relationships" ref="N14" r:id="rId91"/>
    <hyperlink xmlns:r="http://schemas.openxmlformats.org/officeDocument/2006/relationships" ref="O14" r:id="rId92"/>
    <hyperlink xmlns:r="http://schemas.openxmlformats.org/officeDocument/2006/relationships" ref="P14" r:id="rId93"/>
    <hyperlink xmlns:r="http://schemas.openxmlformats.org/officeDocument/2006/relationships" ref="Q14" r:id="rId94"/>
    <hyperlink xmlns:r="http://schemas.openxmlformats.org/officeDocument/2006/relationships" ref="R14" r:id="rId95"/>
    <hyperlink xmlns:r="http://schemas.openxmlformats.org/officeDocument/2006/relationships" ref="S14" r:id="rId96"/>
    <hyperlink xmlns:r="http://schemas.openxmlformats.org/officeDocument/2006/relationships" ref="T14" r:id="rId97"/>
    <hyperlink xmlns:r="http://schemas.openxmlformats.org/officeDocument/2006/relationships" ref="U14" r:id="rId98"/>
    <hyperlink xmlns:r="http://schemas.openxmlformats.org/officeDocument/2006/relationships" ref="B15" r:id="rId99"/>
    <hyperlink xmlns:r="http://schemas.openxmlformats.org/officeDocument/2006/relationships" ref="C15" r:id="rId100"/>
    <hyperlink xmlns:r="http://schemas.openxmlformats.org/officeDocument/2006/relationships" ref="D15" r:id="rId101"/>
    <hyperlink xmlns:r="http://schemas.openxmlformats.org/officeDocument/2006/relationships" ref="E15" r:id="rId102"/>
    <hyperlink xmlns:r="http://schemas.openxmlformats.org/officeDocument/2006/relationships" ref="F15" r:id="rId103"/>
    <hyperlink xmlns:r="http://schemas.openxmlformats.org/officeDocument/2006/relationships" ref="G15" r:id="rId104"/>
    <hyperlink xmlns:r="http://schemas.openxmlformats.org/officeDocument/2006/relationships" ref="H15" r:id="rId105"/>
    <hyperlink xmlns:r="http://schemas.openxmlformats.org/officeDocument/2006/relationships" ref="I15" r:id="rId106"/>
    <hyperlink xmlns:r="http://schemas.openxmlformats.org/officeDocument/2006/relationships" ref="J15" r:id="rId107"/>
    <hyperlink xmlns:r="http://schemas.openxmlformats.org/officeDocument/2006/relationships" ref="K15" r:id="rId108"/>
    <hyperlink xmlns:r="http://schemas.openxmlformats.org/officeDocument/2006/relationships" ref="L15" r:id="rId109"/>
    <hyperlink xmlns:r="http://schemas.openxmlformats.org/officeDocument/2006/relationships" ref="M15" r:id="rId110"/>
    <hyperlink xmlns:r="http://schemas.openxmlformats.org/officeDocument/2006/relationships" ref="N15" r:id="rId111"/>
    <hyperlink xmlns:r="http://schemas.openxmlformats.org/officeDocument/2006/relationships" ref="O15" r:id="rId112"/>
    <hyperlink xmlns:r="http://schemas.openxmlformats.org/officeDocument/2006/relationships" ref="T15" r:id="rId113"/>
    <hyperlink xmlns:r="http://schemas.openxmlformats.org/officeDocument/2006/relationships" ref="U15" r:id="rId114"/>
    <hyperlink xmlns:r="http://schemas.openxmlformats.org/officeDocument/2006/relationships" ref="B17" r:id="rId115"/>
    <hyperlink xmlns:r="http://schemas.openxmlformats.org/officeDocument/2006/relationships" ref="C17" r:id="rId116"/>
    <hyperlink xmlns:r="http://schemas.openxmlformats.org/officeDocument/2006/relationships" ref="D17" r:id="rId117"/>
    <hyperlink xmlns:r="http://schemas.openxmlformats.org/officeDocument/2006/relationships" ref="E17" r:id="rId118"/>
    <hyperlink xmlns:r="http://schemas.openxmlformats.org/officeDocument/2006/relationships" ref="F17" r:id="rId119"/>
    <hyperlink xmlns:r="http://schemas.openxmlformats.org/officeDocument/2006/relationships" ref="G17" r:id="rId120"/>
    <hyperlink xmlns:r="http://schemas.openxmlformats.org/officeDocument/2006/relationships" ref="H17" r:id="rId121"/>
    <hyperlink xmlns:r="http://schemas.openxmlformats.org/officeDocument/2006/relationships" ref="I17" r:id="rId122"/>
    <hyperlink xmlns:r="http://schemas.openxmlformats.org/officeDocument/2006/relationships" ref="J17" r:id="rId123"/>
    <hyperlink xmlns:r="http://schemas.openxmlformats.org/officeDocument/2006/relationships" ref="K17" r:id="rId124"/>
    <hyperlink xmlns:r="http://schemas.openxmlformats.org/officeDocument/2006/relationships" ref="L17" r:id="rId125"/>
    <hyperlink xmlns:r="http://schemas.openxmlformats.org/officeDocument/2006/relationships" ref="M17" r:id="rId126"/>
    <hyperlink xmlns:r="http://schemas.openxmlformats.org/officeDocument/2006/relationships" ref="N17" r:id="rId127"/>
    <hyperlink xmlns:r="http://schemas.openxmlformats.org/officeDocument/2006/relationships" ref="O17" r:id="rId128"/>
    <hyperlink xmlns:r="http://schemas.openxmlformats.org/officeDocument/2006/relationships" ref="P17" r:id="rId129"/>
    <hyperlink xmlns:r="http://schemas.openxmlformats.org/officeDocument/2006/relationships" ref="Q17" r:id="rId130"/>
    <hyperlink xmlns:r="http://schemas.openxmlformats.org/officeDocument/2006/relationships" ref="R17" r:id="rId131"/>
    <hyperlink xmlns:r="http://schemas.openxmlformats.org/officeDocument/2006/relationships" ref="S17" r:id="rId132"/>
    <hyperlink xmlns:r="http://schemas.openxmlformats.org/officeDocument/2006/relationships" ref="T17" r:id="rId133"/>
    <hyperlink xmlns:r="http://schemas.openxmlformats.org/officeDocument/2006/relationships" ref="U17" r:id="rId134"/>
    <hyperlink xmlns:r="http://schemas.openxmlformats.org/officeDocument/2006/relationships" ref="B18" r:id="rId135"/>
    <hyperlink xmlns:r="http://schemas.openxmlformats.org/officeDocument/2006/relationships" ref="C18" r:id="rId136"/>
    <hyperlink xmlns:r="http://schemas.openxmlformats.org/officeDocument/2006/relationships" ref="D18" r:id="rId137"/>
    <hyperlink xmlns:r="http://schemas.openxmlformats.org/officeDocument/2006/relationships" ref="E18" r:id="rId138"/>
  </hyperlinks>
  <pageMargins left="0.75" right="0.75" top="1" bottom="1" header="0.5" footer="0.5"/>
  <pageSetup orientation="portrait" paperSize="9"/>
</worksheet>
</file>

<file path=xl/worksheets/sheet2.xml><?xml version="1.0" encoding="utf-8"?>
<worksheet xmlns="http://schemas.openxmlformats.org/spreadsheetml/2006/main">
  <sheetPr codeName="Feuil2">
    <outlinePr summaryBelow="1" summaryRight="1"/>
    <pageSetUpPr/>
  </sheetPr>
  <dimension ref="C2:G1437"/>
  <sheetViews>
    <sheetView topLeftCell="A1030" workbookViewId="0">
      <selection activeCell="C1065" sqref="C1065"/>
    </sheetView>
  </sheetViews>
  <sheetFormatPr baseColWidth="10" defaultColWidth="8.88671875" defaultRowHeight="14.4"/>
  <cols>
    <col width="23.109375" customWidth="1" min="1" max="1"/>
    <col width="38.21875" customWidth="1" min="3" max="3"/>
    <col width="70.44140625" customWidth="1" min="4" max="4"/>
    <col width="14.5546875" customWidth="1" min="7" max="7"/>
  </cols>
  <sheetData>
    <row r="2">
      <c r="C2" s="92" t="inlineStr">
        <is>
          <t>Details for : L1 serie - Postes Backlog</t>
        </is>
      </c>
      <c r="D2" s="93" t="inlineStr">
        <is>
          <t>Article : Client - Length x Width x Thickness</t>
        </is>
      </c>
      <c r="E2" s="93" t="inlineStr">
        <is>
          <t>Postes</t>
        </is>
      </c>
      <c r="F2" s="93" t="inlineStr">
        <is>
          <t>Tonnes</t>
        </is>
      </c>
      <c r="G2" s="94" t="inlineStr">
        <is>
          <t>Productivity</t>
        </is>
      </c>
    </row>
    <row r="3">
      <c r="C3" s="95" t="inlineStr">
        <is>
          <t>Sum Tonnes : 7491.95</t>
        </is>
      </c>
      <c r="D3" s="96" t="inlineStr">
        <is>
          <t>8070684.0:OTIS SCS - 2700.0x989.5x2.5</t>
        </is>
      </c>
      <c r="E3" s="96" t="n">
        <v>0</v>
      </c>
      <c r="F3" s="96" t="n">
        <v>0.10481</v>
      </c>
      <c r="G3" s="97" t="n">
        <v>3.66</v>
      </c>
    </row>
    <row r="4">
      <c r="C4" s="95" t="inlineStr">
        <is>
          <t>Sum Postes : 37.7</t>
        </is>
      </c>
      <c r="D4" s="96" t="inlineStr">
        <is>
          <t>8085534.0:VIESSMANN FAULQUEMONT SAS - 3507.0x1746.0x2.55</t>
        </is>
      </c>
      <c r="E4" s="96" t="n">
        <v>0.12</v>
      </c>
      <c r="F4" s="96" t="n">
        <v>25</v>
      </c>
      <c r="G4" s="97" t="n">
        <v>27.71</v>
      </c>
    </row>
    <row r="5">
      <c r="C5" s="95" t="inlineStr">
        <is>
          <t>Average Productivity : 11.94</t>
        </is>
      </c>
      <c r="D5" s="98" t="inlineStr">
        <is>
          <t>8029403.0:SAREL APPAREILLAGE ELECTRIQUE - 1838.0x1638.0x1.45</t>
        </is>
      </c>
      <c r="E5" s="98" t="n">
        <v>35.43</v>
      </c>
      <c r="F5" s="98" t="n">
        <v>7356.144</v>
      </c>
      <c r="G5" s="99" t="n">
        <v>27.68</v>
      </c>
    </row>
    <row r="6">
      <c r="C6" s="100" t="n"/>
      <c r="D6" s="96" t="inlineStr">
        <is>
          <t>8069824.0:VIESSMANN FAULQUEMONT SAS - 2463.0x1667.0x2.5</t>
        </is>
      </c>
      <c r="E6" s="96" t="n">
        <v>0.46</v>
      </c>
      <c r="F6" s="96" t="n">
        <v>20</v>
      </c>
      <c r="G6" s="97" t="n">
        <v>5.83</v>
      </c>
    </row>
    <row r="7">
      <c r="C7" s="100" t="n"/>
      <c r="D7" s="96" t="inlineStr">
        <is>
          <t>8046628.0:SIMPSON STRONG-TIE SAS - 2500.0x1250.0x2.5</t>
        </is>
      </c>
      <c r="E7" s="96" t="n">
        <v>0.03</v>
      </c>
      <c r="F7" s="96" t="n">
        <v>4.274</v>
      </c>
      <c r="G7" s="97" t="n">
        <v>18.02</v>
      </c>
    </row>
    <row r="8">
      <c r="C8" s="100" t="n"/>
      <c r="D8" s="96" t="inlineStr">
        <is>
          <t>8055035.0:AMDS COLOMIERS - 3490.0x1120.0x2.5</t>
        </is>
      </c>
      <c r="E8" s="96" t="n">
        <v>0.07000000000000001</v>
      </c>
      <c r="F8" s="96" t="n">
        <v>1.909</v>
      </c>
      <c r="G8" s="97" t="n">
        <v>3.72</v>
      </c>
    </row>
    <row r="9">
      <c r="C9" s="100" t="n"/>
      <c r="D9" s="96" t="inlineStr">
        <is>
          <t>8012572.0:GESTAMP NOURY S.A. - 1850.0x255.0x1.4</t>
        </is>
      </c>
      <c r="E9" s="96" t="n">
        <v>0.08</v>
      </c>
      <c r="F9" s="96" t="n">
        <v>3.2612</v>
      </c>
      <c r="G9" s="97" t="n">
        <v>5.31</v>
      </c>
    </row>
    <row r="10">
      <c r="C10" s="100" t="n"/>
      <c r="D10" s="96" t="inlineStr">
        <is>
          <t>8012560.0:SOFEDIT GOUZEAUCOURT - 1920.0x1825.0x0.8</t>
        </is>
      </c>
      <c r="E10" s="96" t="n">
        <v>0.5</v>
      </c>
      <c r="F10" s="96" t="n">
        <v>24.92001</v>
      </c>
      <c r="G10" s="97" t="n">
        <v>6.67</v>
      </c>
    </row>
    <row r="11">
      <c r="C11" s="100" t="n"/>
      <c r="D11" s="96" t="inlineStr">
        <is>
          <t>8055824.0:MARTINREA BERGNEUSTADT GmbH - 2077.0x367.0x2.0</t>
        </is>
      </c>
      <c r="E11" s="96" t="n">
        <v>0.26</v>
      </c>
      <c r="F11" s="96" t="n">
        <v>24.01</v>
      </c>
      <c r="G11" s="97" t="n">
        <v>12.21</v>
      </c>
    </row>
    <row r="12">
      <c r="C12" s="100" t="n"/>
      <c r="D12" s="101" t="inlineStr">
        <is>
          <t>8038432.0:OTIS SCS - 3000.0x1370.0x2.5</t>
        </is>
      </c>
      <c r="E12" s="101" t="n">
        <v>0</v>
      </c>
      <c r="F12" s="101" t="n">
        <v>0.08087</v>
      </c>
      <c r="G12" s="102" t="n">
        <v>5.71</v>
      </c>
    </row>
    <row r="13">
      <c r="C13" s="100" t="n"/>
      <c r="D13" s="96" t="inlineStr">
        <is>
          <t>8039307.0:OTIS SCS - 3300.0x550.0x3.0</t>
        </is>
      </c>
      <c r="E13" s="96" t="n">
        <v>0.28</v>
      </c>
      <c r="F13" s="96" t="n">
        <v>12.025</v>
      </c>
      <c r="G13" s="97" t="n">
        <v>5.74</v>
      </c>
    </row>
    <row r="14">
      <c r="C14" s="103" t="n"/>
      <c r="D14" s="104" t="inlineStr">
        <is>
          <t>8038432.0:OTIS SCS - 3000.0x1370.0x2.5</t>
        </is>
      </c>
      <c r="E14" s="104" t="n">
        <v>0.47</v>
      </c>
      <c r="F14" s="104" t="n">
        <v>20.2175</v>
      </c>
      <c r="G14" s="105" t="n">
        <v>5.71</v>
      </c>
    </row>
    <row r="18">
      <c r="C18" s="92" t="inlineStr">
        <is>
          <t>Details for : L1 serie - Postes Forecast W</t>
        </is>
      </c>
      <c r="D18" s="93" t="inlineStr">
        <is>
          <t>Article : Client - Length x Width x Thickness</t>
        </is>
      </c>
      <c r="E18" s="93" t="inlineStr">
        <is>
          <t>Postes</t>
        </is>
      </c>
      <c r="F18" s="93" t="inlineStr">
        <is>
          <t>Tonnes</t>
        </is>
      </c>
      <c r="G18" s="94" t="inlineStr">
        <is>
          <t>Productivity</t>
        </is>
      </c>
    </row>
    <row r="19">
      <c r="C19" s="95" t="inlineStr">
        <is>
          <t>Sum Tonnes : 92.0</t>
        </is>
      </c>
      <c r="D19" s="96" t="inlineStr">
        <is>
          <t>8029298.0:SEBP PAVAILLER - 1670.0x1500.0x1.5</t>
        </is>
      </c>
      <c r="E19" s="96" t="n">
        <v>0.27</v>
      </c>
      <c r="F19" s="96" t="n">
        <v>7</v>
      </c>
      <c r="G19" s="97" t="n">
        <v>3.48</v>
      </c>
    </row>
    <row r="20">
      <c r="C20" s="95" t="inlineStr">
        <is>
          <t>Sum Postes : 2.08</t>
        </is>
      </c>
      <c r="D20" s="96" t="inlineStr">
        <is>
          <t>8012581.0:SNOP VILLEPINTE - 430.0x1000.0x0.75</t>
        </is>
      </c>
      <c r="E20" s="96" t="n">
        <v>0.1</v>
      </c>
      <c r="F20" s="96" t="n">
        <v>2.5</v>
      </c>
      <c r="G20" s="97" t="n">
        <v>3.21</v>
      </c>
    </row>
    <row r="21">
      <c r="C21" s="95" t="inlineStr">
        <is>
          <t>Average Productivity : 11.94</t>
        </is>
      </c>
      <c r="D21" s="96" t="inlineStr">
        <is>
          <t>8012607.0:SNOP VILLEPINTE - 1268.0x490.0x0.8</t>
        </is>
      </c>
      <c r="E21" s="96" t="n">
        <v>0.21</v>
      </c>
      <c r="F21" s="96" t="n">
        <v>10</v>
      </c>
      <c r="G21" s="97" t="n">
        <v>6.5</v>
      </c>
    </row>
    <row r="22">
      <c r="C22" s="100" t="n"/>
      <c r="D22" s="96" t="inlineStr">
        <is>
          <t>8012609.0:SNOP VILLEPINTE - 1220.0x605.0x0.8</t>
        </is>
      </c>
      <c r="E22" s="96" t="n">
        <v>0.23</v>
      </c>
      <c r="F22" s="96" t="n">
        <v>10.6</v>
      </c>
      <c r="G22" s="97" t="n">
        <v>6.28</v>
      </c>
    </row>
    <row r="23">
      <c r="C23" s="100" t="n"/>
      <c r="D23" s="96" t="inlineStr">
        <is>
          <t>8012608.0:SNOP VILLEPINTE - 1700.0x490.0x0.8</t>
        </is>
      </c>
      <c r="E23" s="96" t="n">
        <v>0.14</v>
      </c>
      <c r="F23" s="96" t="n">
        <v>8.199999999999999</v>
      </c>
      <c r="G23" s="97" t="n">
        <v>7.67</v>
      </c>
    </row>
    <row r="24">
      <c r="C24" s="100" t="n"/>
      <c r="D24" s="96" t="inlineStr">
        <is>
          <t>8032513.0:GEDIA POLAND SP Z.O.O - 692.0x262.0x1.5</t>
        </is>
      </c>
      <c r="E24" s="96" t="n">
        <v>0.21</v>
      </c>
      <c r="F24" s="96" t="n">
        <v>2.2</v>
      </c>
      <c r="G24" s="97" t="n">
        <v>1.41</v>
      </c>
    </row>
    <row r="25">
      <c r="C25" s="100" t="n"/>
      <c r="D25" s="96" t="inlineStr">
        <is>
          <t>8032515.0:GEDIA POLAND SP Z.O.O - 1480.0x268.0x1.5</t>
        </is>
      </c>
      <c r="E25" s="96" t="n">
        <v>0.11</v>
      </c>
      <c r="F25" s="96" t="n">
        <v>4.7</v>
      </c>
      <c r="G25" s="97" t="n">
        <v>5.95</v>
      </c>
    </row>
    <row r="26">
      <c r="C26" s="100" t="n"/>
      <c r="D26" s="96" t="inlineStr">
        <is>
          <t>8032516.0:GEDIA POLAND SP Z.O.O - 640.0x346.0x2.0</t>
        </is>
      </c>
      <c r="E26" s="96" t="n">
        <v>0.12</v>
      </c>
      <c r="F26" s="96" t="n">
        <v>3.5</v>
      </c>
      <c r="G26" s="97" t="n">
        <v>3.88</v>
      </c>
    </row>
    <row r="27">
      <c r="C27" s="100" t="n"/>
      <c r="D27" s="96" t="inlineStr">
        <is>
          <t>8032518.0:GEDIA POLAND SP Z.O.O - 1024.0x650.0x1.0</t>
        </is>
      </c>
      <c r="E27" s="96" t="n">
        <v>0.21</v>
      </c>
      <c r="F27" s="96" t="n">
        <v>10</v>
      </c>
      <c r="G27" s="97" t="n">
        <v>6.24</v>
      </c>
    </row>
    <row r="28">
      <c r="C28" s="100" t="n"/>
      <c r="D28" s="98" t="inlineStr">
        <is>
          <t>8055824.0:MARTINREA BERGNEUSTADT GmbH - 2077.0x367.0x2.0</t>
        </is>
      </c>
      <c r="E28" s="98" t="n">
        <v>0.26</v>
      </c>
      <c r="F28" s="98" t="n">
        <v>23.958</v>
      </c>
      <c r="G28" s="99" t="n">
        <v>12.21</v>
      </c>
    </row>
    <row r="29">
      <c r="C29" s="100" t="n"/>
      <c r="D29" s="101" t="inlineStr">
        <is>
          <t>8029409.0:SAREL APPAREILLAGE ELECTRIQUE - 1339.0x1339.0x1.15</t>
        </is>
      </c>
      <c r="E29" s="101" t="n">
        <v>0.02</v>
      </c>
      <c r="F29" s="101" t="n">
        <v>0.62</v>
      </c>
      <c r="G29" s="102" t="n">
        <v>3.9</v>
      </c>
    </row>
    <row r="30">
      <c r="C30" s="100" t="n"/>
      <c r="D30" s="96" t="inlineStr">
        <is>
          <t>8029406.0:SAREL APPAREILLAGE ELECTRIQUE - 1439.0x1439.0x1.15</t>
        </is>
      </c>
      <c r="E30" s="96" t="n">
        <v>0.04</v>
      </c>
      <c r="F30" s="96" t="n">
        <v>1.264</v>
      </c>
      <c r="G30" s="97" t="n">
        <v>4.44</v>
      </c>
    </row>
    <row r="31">
      <c r="C31" s="100" t="n"/>
      <c r="D31" s="96" t="inlineStr">
        <is>
          <t>8058505.0:SAREL APPAREILLAGE ELECTRIQUE - 2007.0x1221.5x1.45</t>
        </is>
      </c>
      <c r="E31" s="96" t="n">
        <v>0.01</v>
      </c>
      <c r="F31" s="96" t="n">
        <v>0.696</v>
      </c>
      <c r="G31" s="97" t="n">
        <v>6.38</v>
      </c>
    </row>
    <row r="32">
      <c r="C32" s="100" t="n"/>
      <c r="D32" s="101" t="inlineStr">
        <is>
          <t>8029408.0:SAREL APPAREILLAGE ELECTRIQUE - 2000.0x1000.0x2.5</t>
        </is>
      </c>
      <c r="E32" s="101" t="n">
        <v>0.02</v>
      </c>
      <c r="F32" s="101" t="n">
        <v>0.62</v>
      </c>
      <c r="G32" s="102" t="n">
        <v>3.94</v>
      </c>
    </row>
    <row r="33">
      <c r="C33" s="100" t="n"/>
      <c r="D33" s="101" t="inlineStr">
        <is>
          <t>8029396.0:SAREL APPAREILLAGE ELECTRIQUE - 1838.0x1238.0x1.45</t>
        </is>
      </c>
      <c r="E33" s="101" t="n">
        <v>0.02</v>
      </c>
      <c r="F33" s="101" t="n">
        <v>0.62</v>
      </c>
      <c r="G33" s="102" t="n">
        <v>4.56</v>
      </c>
    </row>
    <row r="34">
      <c r="C34" s="100" t="n"/>
      <c r="D34" s="96" t="inlineStr">
        <is>
          <t>8039307.0:OTIS SCS - 3300.0x550.0x3.0</t>
        </is>
      </c>
      <c r="E34" s="96" t="n">
        <v>0.1</v>
      </c>
      <c r="F34" s="96" t="n">
        <v>4.298</v>
      </c>
      <c r="G34" s="97" t="n">
        <v>5.74</v>
      </c>
    </row>
    <row r="35">
      <c r="C35" s="103" t="n"/>
      <c r="D35" s="104" t="inlineStr">
        <is>
          <t>8029398.0:SAREL APPAREILLAGE ELECTRIQUE - 2500.0x1250.0x1.0</t>
        </is>
      </c>
      <c r="E35" s="104" t="n">
        <v>0.01</v>
      </c>
      <c r="F35" s="104" t="n">
        <v>1.226</v>
      </c>
      <c r="G35" s="105" t="n">
        <v>12.08</v>
      </c>
    </row>
    <row r="39">
      <c r="C39" s="92" t="inlineStr">
        <is>
          <t>Details for : L1 serie - Postes Forecast W1</t>
        </is>
      </c>
      <c r="D39" s="93" t="inlineStr">
        <is>
          <t>Article : Client - Length x Width x Thickness</t>
        </is>
      </c>
      <c r="E39" s="93" t="inlineStr">
        <is>
          <t>Postes</t>
        </is>
      </c>
      <c r="F39" s="93" t="inlineStr">
        <is>
          <t>Tonnes</t>
        </is>
      </c>
      <c r="G39" s="94" t="inlineStr">
        <is>
          <t>Productivity</t>
        </is>
      </c>
    </row>
    <row r="40">
      <c r="C40" s="95" t="inlineStr">
        <is>
          <t>Sum Tonnes : 261.21</t>
        </is>
      </c>
      <c r="D40" s="96" t="inlineStr">
        <is>
          <t>8049030.0:GIENNOISE DE CHAUDRONNERIE - 2500.0x1370.0x2.5</t>
        </is>
      </c>
      <c r="E40" s="96" t="n">
        <v>0.12</v>
      </c>
      <c r="F40" s="96" t="n">
        <v>2.5</v>
      </c>
      <c r="G40" s="97" t="n">
        <v>2.77</v>
      </c>
    </row>
    <row r="41">
      <c r="C41" s="95" t="inlineStr">
        <is>
          <t>Sum Postes : 4.1</t>
        </is>
      </c>
      <c r="D41" s="96" t="inlineStr">
        <is>
          <t>8012591.0:GEDIA POLAND SP Z.O.O - 2210.0x551.0x2.4</t>
        </is>
      </c>
      <c r="E41" s="96" t="n">
        <v>0.53</v>
      </c>
      <c r="F41" s="96" t="n">
        <v>30</v>
      </c>
      <c r="G41" s="97" t="n">
        <v>7.61</v>
      </c>
    </row>
    <row r="42">
      <c r="C42" s="95" t="inlineStr">
        <is>
          <t>Average Productivity : 11.94</t>
        </is>
      </c>
      <c r="D42" s="96" t="inlineStr">
        <is>
          <t>8012601.0:SNOP VILLEPINTE - 1220.0x480.0x1.2</t>
        </is>
      </c>
      <c r="E42" s="96" t="n">
        <v>0.21</v>
      </c>
      <c r="F42" s="96" t="n">
        <v>10.8</v>
      </c>
      <c r="G42" s="97" t="n">
        <v>6.78</v>
      </c>
    </row>
    <row r="43">
      <c r="C43" s="100" t="n"/>
      <c r="D43" s="96" t="inlineStr">
        <is>
          <t>8012606.0:SNOP VILLEPINTE - 400.0x550.0x1.5</t>
        </is>
      </c>
      <c r="E43" s="96" t="n">
        <v>0.23</v>
      </c>
      <c r="F43" s="96" t="n">
        <v>9.52</v>
      </c>
      <c r="G43" s="97" t="n">
        <v>5.48</v>
      </c>
    </row>
    <row r="44">
      <c r="C44" s="100" t="n"/>
      <c r="D44" s="96" t="inlineStr">
        <is>
          <t>8032595.0:GEDIA POLAND SP Z.O.O - 1861.0x273.0x1.2</t>
        </is>
      </c>
      <c r="E44" s="96" t="n">
        <v>1.08</v>
      </c>
      <c r="F44" s="96" t="n">
        <v>65</v>
      </c>
      <c r="G44" s="97" t="n">
        <v>7.99</v>
      </c>
    </row>
    <row r="45">
      <c r="C45" s="100" t="n"/>
      <c r="D45" s="96" t="inlineStr">
        <is>
          <t>8057994.0:RENAULT SAS - 790.0x210.0x2.0</t>
        </is>
      </c>
      <c r="E45" s="96" t="n">
        <v>0.5</v>
      </c>
      <c r="F45" s="96" t="n">
        <v>18.55</v>
      </c>
      <c r="G45" s="97" t="n">
        <v>4.91</v>
      </c>
    </row>
    <row r="46">
      <c r="C46" s="100" t="n"/>
      <c r="D46" s="98" t="inlineStr">
        <is>
          <t>8055824.0:MARTINREA BERGNEUSTADT GmbH - 2077.0x367.0x2.0</t>
        </is>
      </c>
      <c r="E46" s="98" t="n">
        <v>1.31</v>
      </c>
      <c r="F46" s="98" t="n">
        <v>119.79</v>
      </c>
      <c r="G46" s="99" t="n">
        <v>12.21</v>
      </c>
    </row>
    <row r="47">
      <c r="C47" s="100" t="n"/>
      <c r="D47" s="96" t="inlineStr">
        <is>
          <t>8029409.0:SAREL APPAREILLAGE ELECTRIQUE - 1339.0x1339.0x1.15</t>
        </is>
      </c>
      <c r="E47" s="96" t="n">
        <v>0.02</v>
      </c>
      <c r="F47" s="96" t="n">
        <v>0.623</v>
      </c>
      <c r="G47" s="97" t="n">
        <v>3.9</v>
      </c>
    </row>
    <row r="48">
      <c r="C48" s="100" t="n"/>
      <c r="D48" s="96" t="inlineStr">
        <is>
          <t>8029406.0:SAREL APPAREILLAGE ELECTRIQUE - 1439.0x1439.0x1.15</t>
        </is>
      </c>
      <c r="E48" s="96" t="n">
        <v>0.04</v>
      </c>
      <c r="F48" s="96" t="n">
        <v>1.267</v>
      </c>
      <c r="G48" s="97" t="n">
        <v>4.44</v>
      </c>
    </row>
    <row r="49">
      <c r="C49" s="100" t="n"/>
      <c r="D49" s="96" t="inlineStr">
        <is>
          <t>8058505.0:SAREL APPAREILLAGE ELECTRIQUE - 2007.0x1221.5x1.45</t>
        </is>
      </c>
      <c r="E49" s="96" t="n">
        <v>0.01</v>
      </c>
      <c r="F49" s="96" t="n">
        <v>0.696</v>
      </c>
      <c r="G49" s="97" t="n">
        <v>6.38</v>
      </c>
    </row>
    <row r="50">
      <c r="C50" s="100" t="n"/>
      <c r="D50" s="101" t="inlineStr">
        <is>
          <t>8029408.0:SAREL APPAREILLAGE ELECTRIQUE - 2000.0x1000.0x2.5</t>
        </is>
      </c>
      <c r="E50" s="101" t="n">
        <v>0.02</v>
      </c>
      <c r="F50" s="101" t="n">
        <v>0.62</v>
      </c>
      <c r="G50" s="102" t="n">
        <v>3.94</v>
      </c>
    </row>
    <row r="51">
      <c r="C51" s="100" t="n"/>
      <c r="D51" s="101" t="inlineStr">
        <is>
          <t>8029396.0:SAREL APPAREILLAGE ELECTRIQUE - 1838.0x1238.0x1.45</t>
        </is>
      </c>
      <c r="E51" s="101" t="n">
        <v>0.02</v>
      </c>
      <c r="F51" s="101" t="n">
        <v>0.62</v>
      </c>
      <c r="G51" s="102" t="n">
        <v>4.56</v>
      </c>
    </row>
    <row r="52">
      <c r="C52" s="103" t="n"/>
      <c r="D52" s="104" t="inlineStr">
        <is>
          <t>8029398.0:SAREL APPAREILLAGE ELECTRIQUE - 2500.0x1250.0x1.0</t>
        </is>
      </c>
      <c r="E52" s="104" t="n">
        <v>0.01</v>
      </c>
      <c r="F52" s="104" t="n">
        <v>1.226</v>
      </c>
      <c r="G52" s="105" t="n">
        <v>12.08</v>
      </c>
    </row>
    <row r="56">
      <c r="C56" s="92" t="inlineStr">
        <is>
          <t>Details for : L1 serie - Postes Forecast W2</t>
        </is>
      </c>
      <c r="D56" s="93" t="inlineStr">
        <is>
          <t>Article : Client - Length x Width x Thickness</t>
        </is>
      </c>
      <c r="E56" s="93" t="inlineStr">
        <is>
          <t>Postes</t>
        </is>
      </c>
      <c r="F56" s="93" t="inlineStr">
        <is>
          <t>Tonnes</t>
        </is>
      </c>
      <c r="G56" s="94" t="inlineStr">
        <is>
          <t>Productivity</t>
        </is>
      </c>
    </row>
    <row r="57">
      <c r="C57" s="95" t="inlineStr">
        <is>
          <t>Sum Tonnes : 394.12</t>
        </is>
      </c>
      <c r="D57" s="96" t="inlineStr">
        <is>
          <t>8012581.0:SNOP VILLEPINTE - 430.0x1000.0x0.75</t>
        </is>
      </c>
      <c r="E57" s="96" t="n">
        <v>0.1</v>
      </c>
      <c r="F57" s="96" t="n">
        <v>2.5</v>
      </c>
      <c r="G57" s="97" t="n">
        <v>3.21</v>
      </c>
    </row>
    <row r="58">
      <c r="C58" s="95" t="inlineStr">
        <is>
          <t>Sum Postes : 10.91</t>
        </is>
      </c>
      <c r="D58" s="96" t="inlineStr">
        <is>
          <t>8012608.0:SNOP VILLEPINTE - 1700.0x490.0x0.8</t>
        </is>
      </c>
      <c r="E58" s="96" t="n">
        <v>0.24</v>
      </c>
      <c r="F58" s="96" t="n">
        <v>14</v>
      </c>
      <c r="G58" s="97" t="n">
        <v>7.67</v>
      </c>
    </row>
    <row r="59">
      <c r="C59" s="95" t="inlineStr">
        <is>
          <t>Average Productivity : 11.94</t>
        </is>
      </c>
      <c r="D59" s="96" t="inlineStr">
        <is>
          <t>8012605.0:SNOP VILLEPINTE - 530.0x650.0x2.5</t>
        </is>
      </c>
      <c r="E59" s="96" t="n">
        <v>0.2</v>
      </c>
      <c r="F59" s="96" t="n">
        <v>9.630000000000001</v>
      </c>
      <c r="G59" s="97" t="n">
        <v>6.29</v>
      </c>
    </row>
    <row r="60">
      <c r="C60" s="100" t="n"/>
      <c r="D60" s="96" t="inlineStr">
        <is>
          <t>8012560.0:SOFEDIT GOUZEAUCOURT - 1920.0x1825.0x0.8</t>
        </is>
      </c>
      <c r="E60" s="96" t="n">
        <v>0.49</v>
      </c>
      <c r="F60" s="96" t="n">
        <v>24.71168</v>
      </c>
      <c r="G60" s="97" t="n">
        <v>6.67</v>
      </c>
    </row>
    <row r="61">
      <c r="C61" s="100" t="n"/>
      <c r="D61" s="96" t="inlineStr">
        <is>
          <t>8018131.0:BENTELER CR s.r.o. CHRASTAVA - 796.0x235.0x1.4</t>
        </is>
      </c>
      <c r="E61" s="96" t="n">
        <v>0.84</v>
      </c>
      <c r="F61" s="96" t="n">
        <v>8.084</v>
      </c>
      <c r="G61" s="97" t="n">
        <v>1.29</v>
      </c>
    </row>
    <row r="62">
      <c r="C62" s="100" t="n"/>
      <c r="D62" s="96" t="inlineStr">
        <is>
          <t>8016926.0:SNOP VILLEPINTE - 643.0x374.0x1.2</t>
        </is>
      </c>
      <c r="E62" s="96" t="n">
        <v>2.3</v>
      </c>
      <c r="F62" s="96" t="n">
        <v>1.38</v>
      </c>
      <c r="G62" s="97" t="n">
        <v>0.08</v>
      </c>
    </row>
    <row r="63">
      <c r="C63" s="100" t="n"/>
      <c r="D63" s="96" t="inlineStr">
        <is>
          <t>8032513.0:GEDIA POLAND SP Z.O.O - 692.0x262.0x1.5</t>
        </is>
      </c>
      <c r="E63" s="96" t="n">
        <v>0.21</v>
      </c>
      <c r="F63" s="96" t="n">
        <v>2.2</v>
      </c>
      <c r="G63" s="97" t="n">
        <v>1.41</v>
      </c>
    </row>
    <row r="64">
      <c r="C64" s="100" t="n"/>
      <c r="D64" s="96" t="inlineStr">
        <is>
          <t>8032516.0:GEDIA POLAND SP Z.O.O - 640.0x346.0x2.0</t>
        </is>
      </c>
      <c r="E64" s="96" t="n">
        <v>0.12</v>
      </c>
      <c r="F64" s="96" t="n">
        <v>3.5</v>
      </c>
      <c r="G64" s="97" t="n">
        <v>3.88</v>
      </c>
    </row>
    <row r="65">
      <c r="C65" s="100" t="n"/>
      <c r="D65" s="96" t="inlineStr">
        <is>
          <t>8032518.0:GEDIA POLAND SP Z.O.O - 1024.0x650.0x1.0</t>
        </is>
      </c>
      <c r="E65" s="96" t="n">
        <v>0.32</v>
      </c>
      <c r="F65" s="96" t="n">
        <v>15</v>
      </c>
      <c r="G65" s="97" t="n">
        <v>6.24</v>
      </c>
    </row>
    <row r="66">
      <c r="C66" s="100" t="n"/>
      <c r="D66" s="96" t="inlineStr">
        <is>
          <t>8032595.0:GEDIA POLAND SP Z.O.O - 1861.0x273.0x1.2</t>
        </is>
      </c>
      <c r="E66" s="96" t="n">
        <v>1.2</v>
      </c>
      <c r="F66" s="96" t="n">
        <v>72</v>
      </c>
      <c r="G66" s="97" t="n">
        <v>7.99</v>
      </c>
    </row>
    <row r="67">
      <c r="C67" s="100" t="n"/>
      <c r="D67" s="98" t="inlineStr">
        <is>
          <t>8055824.0:MARTINREA BERGNEUSTADT GmbH - 2077.0x367.0x2.0</t>
        </is>
      </c>
      <c r="E67" s="98" t="n">
        <v>1.05</v>
      </c>
      <c r="F67" s="98" t="n">
        <v>95.83199999999999</v>
      </c>
      <c r="G67" s="99" t="n">
        <v>12.21</v>
      </c>
    </row>
    <row r="68">
      <c r="C68" s="100" t="n"/>
      <c r="D68" s="96" t="inlineStr">
        <is>
          <t>8029395.0:SAREL APPAREILLAGE ELECTRIQUE - 1439.0x1239.0x1.15</t>
        </is>
      </c>
      <c r="E68" s="96" t="n">
        <v>0.06</v>
      </c>
      <c r="F68" s="96" t="n">
        <v>2.492</v>
      </c>
      <c r="G68" s="97" t="n">
        <v>6</v>
      </c>
    </row>
    <row r="69">
      <c r="C69" s="100" t="n"/>
      <c r="D69" s="96" t="inlineStr">
        <is>
          <t>8050961.0:SAREL APPAREILLAGE ELECTRIQUE - 1932.0x1197.0x2.5</t>
        </is>
      </c>
      <c r="E69" s="96" t="n">
        <v>0.39</v>
      </c>
      <c r="F69" s="96" t="n">
        <v>19</v>
      </c>
      <c r="G69" s="97" t="n">
        <v>6.43</v>
      </c>
    </row>
    <row r="70">
      <c r="C70" s="100" t="n"/>
      <c r="D70" s="96" t="inlineStr">
        <is>
          <t>8029413.0:SAREL APPAREILLAGE ELECTRIQUE - 1639.0x1439.0x1.15</t>
        </is>
      </c>
      <c r="E70" s="96" t="n">
        <v>0.03</v>
      </c>
      <c r="F70" s="96" t="n">
        <v>3.703</v>
      </c>
      <c r="G70" s="97" t="n">
        <v>14.22</v>
      </c>
    </row>
    <row r="71">
      <c r="C71" s="100" t="n"/>
      <c r="D71" s="96" t="inlineStr">
        <is>
          <t>8029401.0:SAREL APPAREILLAGE ELECTRIQUE - 1638.0x1438.0x1.45</t>
        </is>
      </c>
      <c r="E71" s="96" t="n">
        <v>0.13</v>
      </c>
      <c r="F71" s="96" t="n">
        <v>1.228</v>
      </c>
      <c r="G71" s="97" t="n">
        <v>1.28</v>
      </c>
    </row>
    <row r="72">
      <c r="C72" s="100" t="n"/>
      <c r="D72" s="96" t="inlineStr">
        <is>
          <t>8029404.0:SAREL APPAREILLAGE ELECTRIQUE - 2038.0x1638.0x1.45</t>
        </is>
      </c>
      <c r="E72" s="96" t="n">
        <v>0.05</v>
      </c>
      <c r="F72" s="96" t="n">
        <v>1.237</v>
      </c>
      <c r="G72" s="97" t="n">
        <v>3.19</v>
      </c>
    </row>
    <row r="73">
      <c r="C73" s="100" t="n"/>
      <c r="D73" s="96" t="inlineStr">
        <is>
          <t>8029403.0:SAREL APPAREILLAGE ELECTRIQUE - 1838.0x1638.0x1.45</t>
        </is>
      </c>
      <c r="E73" s="96" t="n">
        <v>0.01</v>
      </c>
      <c r="F73" s="96" t="n">
        <v>1.845</v>
      </c>
      <c r="G73" s="97" t="n">
        <v>27.68</v>
      </c>
    </row>
    <row r="74">
      <c r="C74" s="100" t="n"/>
      <c r="D74" s="96" t="inlineStr">
        <is>
          <t>8029402.0:SAREL APPAREILLAGE ELECTRIQUE - 1638.0x1638.0x1.45</t>
        </is>
      </c>
      <c r="E74" s="96" t="n">
        <v>0.03</v>
      </c>
      <c r="F74" s="96" t="n">
        <v>2.479</v>
      </c>
      <c r="G74" s="97" t="n">
        <v>12.78</v>
      </c>
    </row>
    <row r="75">
      <c r="C75" s="100" t="n"/>
      <c r="D75" s="96" t="inlineStr">
        <is>
          <t>8029400.0:SAREL APPAREILLAGE ELECTRIQUE - 1838.0x1838.0x1.45</t>
        </is>
      </c>
      <c r="E75" s="96" t="n">
        <v>0</v>
      </c>
      <c r="F75" s="96" t="n">
        <v>1.252</v>
      </c>
      <c r="G75" s="97" t="n">
        <v>69.94</v>
      </c>
    </row>
    <row r="76">
      <c r="C76" s="100" t="n"/>
      <c r="D76" s="96" t="inlineStr">
        <is>
          <t>8029412.0:SAREL APPAREILLAGE ELECTRIQUE - 1539.0x1339.0x1.15</t>
        </is>
      </c>
      <c r="E76" s="96" t="n">
        <v>0.01</v>
      </c>
      <c r="F76" s="96" t="n">
        <v>1.237</v>
      </c>
      <c r="G76" s="97" t="n">
        <v>11.59</v>
      </c>
    </row>
    <row r="77">
      <c r="C77" s="100" t="n"/>
      <c r="D77" s="96" t="inlineStr">
        <is>
          <t>8029409.0:SAREL APPAREILLAGE ELECTRIQUE - 1339.0x1339.0x1.15</t>
        </is>
      </c>
      <c r="E77" s="96" t="n">
        <v>0.04</v>
      </c>
      <c r="F77" s="96" t="n">
        <v>1.241</v>
      </c>
      <c r="G77" s="97" t="n">
        <v>3.9</v>
      </c>
    </row>
    <row r="78">
      <c r="C78" s="100" t="n"/>
      <c r="D78" s="96" t="inlineStr">
        <is>
          <t>8029394.0:SAREL APPAREILLAGE ELECTRIQUE - 2500.0x1455.0x1.15</t>
        </is>
      </c>
      <c r="E78" s="96" t="n">
        <v>0.08</v>
      </c>
      <c r="F78" s="96" t="n">
        <v>1.857</v>
      </c>
      <c r="G78" s="97" t="n">
        <v>3.11</v>
      </c>
    </row>
    <row r="79">
      <c r="C79" s="100" t="n"/>
      <c r="D79" s="96" t="inlineStr">
        <is>
          <t>8029392.0:SAREL APPAREILLAGE ELECTRIQUE - 2500.0x1650.0x2.0</t>
        </is>
      </c>
      <c r="E79" s="96" t="n">
        <v>0.07000000000000001</v>
      </c>
      <c r="F79" s="96" t="n">
        <v>2.442</v>
      </c>
      <c r="G79" s="97" t="n">
        <v>4.37</v>
      </c>
    </row>
    <row r="80">
      <c r="C80" s="100" t="n"/>
      <c r="D80" s="96" t="inlineStr">
        <is>
          <t>8029405.0:SAREL APPAREILLAGE ELECTRIQUE - 1838.0x1438.0x1.45</t>
        </is>
      </c>
      <c r="E80" s="96" t="n">
        <v>0.08</v>
      </c>
      <c r="F80" s="96" t="n">
        <v>3.711</v>
      </c>
      <c r="G80" s="97" t="n">
        <v>6.28</v>
      </c>
    </row>
    <row r="81">
      <c r="C81" s="100" t="n"/>
      <c r="D81" s="96" t="inlineStr">
        <is>
          <t>8029406.0:SAREL APPAREILLAGE ELECTRIQUE - 1439.0x1439.0x1.15</t>
        </is>
      </c>
      <c r="E81" s="96" t="n">
        <v>0.08</v>
      </c>
      <c r="F81" s="96" t="n">
        <v>2.529</v>
      </c>
      <c r="G81" s="97" t="n">
        <v>4.44</v>
      </c>
    </row>
    <row r="82">
      <c r="C82" s="100" t="n"/>
      <c r="D82" s="96" t="inlineStr">
        <is>
          <t>8050960.0:SAREL APPAREILLAGE ELECTRIQUE - 1732.0x1197.0x2.5</t>
        </is>
      </c>
      <c r="E82" s="96" t="n">
        <v>0.15</v>
      </c>
      <c r="F82" s="96" t="n">
        <v>8</v>
      </c>
      <c r="G82" s="97" t="n">
        <v>7.29</v>
      </c>
    </row>
    <row r="83">
      <c r="C83" s="100" t="n"/>
      <c r="D83" s="96" t="inlineStr">
        <is>
          <t>8050962.0:SAREL APPAREILLAGE ELECTRIQUE - 2132.0x1197.0x2.5</t>
        </is>
      </c>
      <c r="E83" s="96" t="n">
        <v>0.16</v>
      </c>
      <c r="F83" s="96" t="n">
        <v>2</v>
      </c>
      <c r="G83" s="97" t="n">
        <v>1.72</v>
      </c>
    </row>
    <row r="84">
      <c r="C84" s="100" t="n"/>
      <c r="D84" s="96" t="inlineStr">
        <is>
          <t>8058505.0:SAREL APPAREILLAGE ELECTRIQUE - 2007.0x1221.5x1.45</t>
        </is>
      </c>
      <c r="E84" s="96" t="n">
        <v>0.03</v>
      </c>
      <c r="F84" s="96" t="n">
        <v>1.393</v>
      </c>
      <c r="G84" s="97" t="n">
        <v>6.38</v>
      </c>
    </row>
    <row r="85">
      <c r="C85" s="100" t="n"/>
      <c r="D85" s="96" t="inlineStr">
        <is>
          <t>8058504.0:SAREL APPAREILLAGE ELECTRIQUE - 1807.0x1221.5x1.45</t>
        </is>
      </c>
      <c r="E85" s="96" t="n">
        <v>0.22</v>
      </c>
      <c r="F85" s="96" t="n">
        <v>2</v>
      </c>
      <c r="G85" s="97" t="n">
        <v>1.23</v>
      </c>
    </row>
    <row r="86">
      <c r="C86" s="100" t="n"/>
      <c r="D86" s="101" t="inlineStr">
        <is>
          <t>8029408.0:SAREL APPAREILLAGE ELECTRIQUE - 2000.0x1000.0x2.5</t>
        </is>
      </c>
      <c r="E86" s="101" t="n">
        <v>0.02</v>
      </c>
      <c r="F86" s="101" t="n">
        <v>0.62</v>
      </c>
      <c r="G86" s="102" t="n">
        <v>3.94</v>
      </c>
    </row>
    <row r="87">
      <c r="C87" s="100" t="n"/>
      <c r="D87" s="101" t="inlineStr">
        <is>
          <t>8029396.0:SAREL APPAREILLAGE ELECTRIQUE - 1838.0x1238.0x1.45</t>
        </is>
      </c>
      <c r="E87" s="101" t="n">
        <v>0.02</v>
      </c>
      <c r="F87" s="101" t="n">
        <v>0.62</v>
      </c>
      <c r="G87" s="102" t="n">
        <v>4.56</v>
      </c>
    </row>
    <row r="88">
      <c r="C88" s="100" t="n"/>
      <c r="D88" s="96" t="inlineStr">
        <is>
          <t>8046189.0:SAREL APPAREILLAGE ELECTRIQUE - 2500.0x1250.0x1.5</t>
        </is>
      </c>
      <c r="E88" s="96" t="n">
        <v>0.11</v>
      </c>
      <c r="F88" s="96" t="n">
        <v>5</v>
      </c>
      <c r="G88" s="97" t="n">
        <v>5.96</v>
      </c>
    </row>
    <row r="89">
      <c r="C89" s="100" t="n"/>
      <c r="D89" s="96" t="inlineStr">
        <is>
          <t>8040538.0:SAREL APPAREILLAGE ELECTRIQUE - 1732.0x997.0x2.5</t>
        </is>
      </c>
      <c r="E89" s="96" t="n">
        <v>0.17</v>
      </c>
      <c r="F89" s="96" t="n">
        <v>7.5</v>
      </c>
      <c r="G89" s="97" t="n">
        <v>5.79</v>
      </c>
    </row>
    <row r="90">
      <c r="C90" s="100" t="n"/>
      <c r="D90" s="96" t="inlineStr">
        <is>
          <t>8040787.0:SAREL APPAREILLAGE ELECTRIQUE - 1932.0x997.0x2.5</t>
        </is>
      </c>
      <c r="E90" s="96" t="n">
        <v>0.77</v>
      </c>
      <c r="F90" s="96" t="n">
        <v>20</v>
      </c>
      <c r="G90" s="97" t="n">
        <v>3.46</v>
      </c>
    </row>
    <row r="91">
      <c r="C91" s="100" t="n"/>
      <c r="D91" s="96" t="inlineStr">
        <is>
          <t>8040788.0:SAREL APPAREILLAGE ELECTRIQUE - 2132.0x997.0x2.5</t>
        </is>
      </c>
      <c r="E91" s="96" t="n">
        <v>0.04</v>
      </c>
      <c r="F91" s="96" t="n">
        <v>5</v>
      </c>
      <c r="G91" s="97" t="n">
        <v>15.44</v>
      </c>
    </row>
    <row r="92">
      <c r="C92" s="100" t="n"/>
      <c r="D92" s="96" t="inlineStr">
        <is>
          <t>8039307.0:OTIS SCS - 3300.0x550.0x3.0</t>
        </is>
      </c>
      <c r="E92" s="96" t="n">
        <v>0.16</v>
      </c>
      <c r="F92" s="96" t="n">
        <v>6.8768</v>
      </c>
      <c r="G92" s="97" t="n">
        <v>5.74</v>
      </c>
    </row>
    <row r="93">
      <c r="C93" s="100" t="n"/>
      <c r="D93" s="96" t="inlineStr">
        <is>
          <t>8039030.0:OTIS SCS - 3410.0x1370.0x2.5</t>
        </is>
      </c>
      <c r="E93" s="96" t="n">
        <v>0.26</v>
      </c>
      <c r="F93" s="96" t="n">
        <v>11.94245</v>
      </c>
      <c r="G93" s="97" t="n">
        <v>6.16</v>
      </c>
    </row>
    <row r="94">
      <c r="C94" s="100" t="n"/>
      <c r="D94" s="96" t="inlineStr">
        <is>
          <t>8040408.0:OTIS SCS - 3380.0x677.0x2.5</t>
        </is>
      </c>
      <c r="E94" s="96" t="n">
        <v>0.17</v>
      </c>
      <c r="F94" s="96" t="n">
        <v>5.40816</v>
      </c>
      <c r="G94" s="97" t="n">
        <v>4.21</v>
      </c>
    </row>
    <row r="95">
      <c r="C95" s="100" t="n"/>
      <c r="D95" s="96" t="inlineStr">
        <is>
          <t>8038432.0:OTIS SCS - 3000.0x1370.0x2.5</t>
        </is>
      </c>
      <c r="E95" s="96" t="n">
        <v>0.47</v>
      </c>
      <c r="F95" s="96" t="n">
        <v>20.2175</v>
      </c>
      <c r="G95" s="97" t="n">
        <v>5.71</v>
      </c>
    </row>
    <row r="96">
      <c r="C96" s="103" t="n"/>
      <c r="D96" s="104" t="inlineStr">
        <is>
          <t>8029398.0:SAREL APPAREILLAGE ELECTRIQUE - 2500.0x1250.0x1.0</t>
        </is>
      </c>
      <c r="E96" s="104" t="n">
        <v>0.03</v>
      </c>
      <c r="F96" s="104" t="n">
        <v>2.453</v>
      </c>
      <c r="G96" s="105" t="n">
        <v>12.08</v>
      </c>
    </row>
    <row r="100">
      <c r="C100" s="92" t="inlineStr">
        <is>
          <t>Details for : L1 serie - Postes Forecast W3</t>
        </is>
      </c>
      <c r="D100" s="93" t="inlineStr">
        <is>
          <t>Article : Client - Length x Width x Thickness</t>
        </is>
      </c>
      <c r="E100" s="93" t="inlineStr">
        <is>
          <t>Postes</t>
        </is>
      </c>
      <c r="F100" s="93" t="inlineStr">
        <is>
          <t>Tonnes</t>
        </is>
      </c>
      <c r="G100" s="94" t="inlineStr">
        <is>
          <t>Productivity</t>
        </is>
      </c>
    </row>
    <row r="101">
      <c r="C101" s="95" t="inlineStr">
        <is>
          <t>Sum Tonnes : 190.33</t>
        </is>
      </c>
      <c r="D101" s="96" t="inlineStr">
        <is>
          <t>8069824.0:VIESSMANN FAULQUEMONT SAS - 2463.0x1667.0x2.5</t>
        </is>
      </c>
      <c r="E101" s="96" t="n">
        <v>0.46</v>
      </c>
      <c r="F101" s="96" t="n">
        <v>20</v>
      </c>
      <c r="G101" s="97" t="n">
        <v>5.83</v>
      </c>
    </row>
    <row r="102">
      <c r="C102" s="95" t="inlineStr">
        <is>
          <t>Sum Postes : 2.92</t>
        </is>
      </c>
      <c r="D102" s="96" t="inlineStr">
        <is>
          <t>8105974.0:BONGARD SAS - 1900.0x950.0x2.0</t>
        </is>
      </c>
      <c r="E102" s="96" t="n">
        <v>0.05</v>
      </c>
      <c r="F102" s="96" t="n">
        <v>2.5</v>
      </c>
      <c r="G102" s="97" t="n">
        <v>6.48</v>
      </c>
    </row>
    <row r="103">
      <c r="C103" s="95" t="inlineStr">
        <is>
          <t>Average Productivity : 11.94</t>
        </is>
      </c>
      <c r="D103" s="96" t="inlineStr">
        <is>
          <t>8105975.0:BONGARD SAS - 1900.0x1350.0x2.0</t>
        </is>
      </c>
      <c r="E103" s="96" t="n">
        <v>0.04</v>
      </c>
      <c r="F103" s="96" t="n">
        <v>2.5</v>
      </c>
      <c r="G103" s="97" t="n">
        <v>7.51</v>
      </c>
    </row>
    <row r="104">
      <c r="C104" s="100" t="n"/>
      <c r="D104" s="96" t="inlineStr">
        <is>
          <t>8105975.0:BONGARD SAS - 1900.0x1350.0x2.0</t>
        </is>
      </c>
      <c r="E104" s="96" t="n">
        <v>0.04</v>
      </c>
      <c r="F104" s="96" t="n">
        <v>2.5</v>
      </c>
      <c r="G104" s="97" t="n">
        <v>7.51</v>
      </c>
    </row>
    <row r="105">
      <c r="C105" s="100" t="n"/>
      <c r="D105" s="96" t="inlineStr">
        <is>
          <t>8105975.0:BONGARD SAS - 1900.0x1350.0x2.0</t>
        </is>
      </c>
      <c r="E105" s="96" t="n">
        <v>0.03</v>
      </c>
      <c r="F105" s="96" t="n">
        <v>1.716</v>
      </c>
      <c r="G105" s="97" t="n">
        <v>7.51</v>
      </c>
    </row>
    <row r="106">
      <c r="C106" s="100" t="n"/>
      <c r="D106" s="96" t="inlineStr">
        <is>
          <t>8105975.0:BONGARD SAS - 1900.0x1350.0x2.0</t>
        </is>
      </c>
      <c r="E106" s="96" t="n">
        <v>0.04</v>
      </c>
      <c r="F106" s="96" t="n">
        <v>2.5</v>
      </c>
      <c r="G106" s="97" t="n">
        <v>7.51</v>
      </c>
    </row>
    <row r="107">
      <c r="C107" s="100" t="n"/>
      <c r="D107" s="96" t="inlineStr">
        <is>
          <t>8105974.0:BONGARD SAS - 1900.0x950.0x2.0</t>
        </is>
      </c>
      <c r="E107" s="96" t="n">
        <v>0.05</v>
      </c>
      <c r="F107" s="96" t="n">
        <v>2.5</v>
      </c>
      <c r="G107" s="97" t="n">
        <v>6.48</v>
      </c>
    </row>
    <row r="108">
      <c r="C108" s="100" t="n"/>
      <c r="D108" s="96" t="inlineStr">
        <is>
          <t>8029215.0:BONGARD SAS - 3000.0x1500.0x2.0</t>
        </is>
      </c>
      <c r="E108" s="96" t="n">
        <v>0.01</v>
      </c>
      <c r="F108" s="96" t="n">
        <v>2.5</v>
      </c>
      <c r="G108" s="97" t="n">
        <v>25.51</v>
      </c>
    </row>
    <row r="109">
      <c r="C109" s="100" t="n"/>
      <c r="D109" s="96" t="inlineStr">
        <is>
          <t>8029213.0:BONGARD SAS - 3000.0x1500.0x1.5</t>
        </is>
      </c>
      <c r="E109" s="96" t="n">
        <v>0.02</v>
      </c>
      <c r="F109" s="96" t="n">
        <v>2.5</v>
      </c>
      <c r="G109" s="97" t="n">
        <v>21.52</v>
      </c>
    </row>
    <row r="110">
      <c r="C110" s="100" t="n"/>
      <c r="D110" s="96" t="inlineStr">
        <is>
          <t>8029213.0:BONGARD SAS - 3000.0x1500.0x1.5</t>
        </is>
      </c>
      <c r="E110" s="96" t="n">
        <v>0.02</v>
      </c>
      <c r="F110" s="96" t="n">
        <v>2.5</v>
      </c>
      <c r="G110" s="97" t="n">
        <v>21.52</v>
      </c>
    </row>
    <row r="111">
      <c r="C111" s="100" t="n"/>
      <c r="D111" s="96" t="inlineStr">
        <is>
          <t>8029213.0:BONGARD SAS - 3000.0x1500.0x1.5</t>
        </is>
      </c>
      <c r="E111" s="96" t="n">
        <v>0.02</v>
      </c>
      <c r="F111" s="96" t="n">
        <v>2.5</v>
      </c>
      <c r="G111" s="97" t="n">
        <v>21.52</v>
      </c>
    </row>
    <row r="112">
      <c r="C112" s="100" t="n"/>
      <c r="D112" s="96" t="inlineStr">
        <is>
          <t>8029213.0:BONGARD SAS - 3000.0x1500.0x1.5</t>
        </is>
      </c>
      <c r="E112" s="96" t="n">
        <v>0.02</v>
      </c>
      <c r="F112" s="96" t="n">
        <v>2.5</v>
      </c>
      <c r="G112" s="97" t="n">
        <v>21.52</v>
      </c>
    </row>
    <row r="113">
      <c r="C113" s="100" t="n"/>
      <c r="D113" s="96" t="inlineStr">
        <is>
          <t>8029215.0:BONGARD SAS - 3000.0x1500.0x2.0</t>
        </is>
      </c>
      <c r="E113" s="96" t="n">
        <v>0.01</v>
      </c>
      <c r="F113" s="96" t="n">
        <v>2.5</v>
      </c>
      <c r="G113" s="97" t="n">
        <v>25.51</v>
      </c>
    </row>
    <row r="114">
      <c r="C114" s="100" t="n"/>
      <c r="D114" s="96" t="inlineStr">
        <is>
          <t>8029215.0:BONGARD SAS - 3000.0x1500.0x2.0</t>
        </is>
      </c>
      <c r="E114" s="96" t="n">
        <v>0.01</v>
      </c>
      <c r="F114" s="96" t="n">
        <v>2.5</v>
      </c>
      <c r="G114" s="97" t="n">
        <v>25.51</v>
      </c>
    </row>
    <row r="115">
      <c r="C115" s="100" t="n"/>
      <c r="D115" s="96" t="inlineStr">
        <is>
          <t>8029215.0:BONGARD SAS - 3000.0x1500.0x2.0</t>
        </is>
      </c>
      <c r="E115" s="96" t="n">
        <v>0.01</v>
      </c>
      <c r="F115" s="96" t="n">
        <v>2.5</v>
      </c>
      <c r="G115" s="97" t="n">
        <v>25.51</v>
      </c>
    </row>
    <row r="116">
      <c r="C116" s="100" t="n"/>
      <c r="D116" s="96" t="inlineStr">
        <is>
          <t>8029215.0:BONGARD SAS - 3000.0x1500.0x2.0</t>
        </is>
      </c>
      <c r="E116" s="96" t="n">
        <v>0.01</v>
      </c>
      <c r="F116" s="96" t="n">
        <v>2.5</v>
      </c>
      <c r="G116" s="97" t="n">
        <v>25.51</v>
      </c>
    </row>
    <row r="117">
      <c r="C117" s="100" t="n"/>
      <c r="D117" s="96" t="inlineStr">
        <is>
          <t>8012591.0:GEDIA POLAND SP Z.O.O - 2210.0x551.0x2.4</t>
        </is>
      </c>
      <c r="E117" s="96" t="n">
        <v>0.42</v>
      </c>
      <c r="F117" s="96" t="n">
        <v>24</v>
      </c>
      <c r="G117" s="97" t="n">
        <v>7.61</v>
      </c>
    </row>
    <row r="118">
      <c r="C118" s="100" t="n"/>
      <c r="D118" s="96" t="inlineStr">
        <is>
          <t>8012601.0:SNOP VILLEPINTE - 1220.0x480.0x1.2</t>
        </is>
      </c>
      <c r="E118" s="96" t="n">
        <v>0.11</v>
      </c>
      <c r="F118" s="96" t="n">
        <v>5.4</v>
      </c>
      <c r="G118" s="97" t="n">
        <v>6.78</v>
      </c>
    </row>
    <row r="119">
      <c r="C119" s="100" t="n"/>
      <c r="D119" s="98" t="inlineStr">
        <is>
          <t>8055824.0:MARTINREA BERGNEUSTADT GmbH - 2077.0x367.0x2.0</t>
        </is>
      </c>
      <c r="E119" s="98" t="n">
        <v>0.78</v>
      </c>
      <c r="F119" s="98" t="n">
        <v>71.874</v>
      </c>
      <c r="G119" s="99" t="n">
        <v>12.21</v>
      </c>
    </row>
    <row r="120">
      <c r="C120" s="100" t="n"/>
      <c r="D120" s="96" t="inlineStr">
        <is>
          <t>8029395.0:SAREL APPAREILLAGE ELECTRIQUE - 1439.0x1239.0x1.15</t>
        </is>
      </c>
      <c r="E120" s="96" t="n">
        <v>0.06</v>
      </c>
      <c r="F120" s="96" t="n">
        <v>2.492</v>
      </c>
      <c r="G120" s="97" t="n">
        <v>6</v>
      </c>
    </row>
    <row r="121">
      <c r="C121" s="100" t="n"/>
      <c r="D121" s="96" t="inlineStr">
        <is>
          <t>8029413.0:SAREL APPAREILLAGE ELECTRIQUE - 1639.0x1439.0x1.15</t>
        </is>
      </c>
      <c r="E121" s="96" t="n">
        <v>0.03</v>
      </c>
      <c r="F121" s="96" t="n">
        <v>3.703</v>
      </c>
      <c r="G121" s="97" t="n">
        <v>14.22</v>
      </c>
    </row>
    <row r="122">
      <c r="C122" s="100" t="n"/>
      <c r="D122" s="96" t="inlineStr">
        <is>
          <t>8029401.0:SAREL APPAREILLAGE ELECTRIQUE - 1638.0x1438.0x1.45</t>
        </is>
      </c>
      <c r="E122" s="96" t="n">
        <v>0.13</v>
      </c>
      <c r="F122" s="96" t="n">
        <v>1.228</v>
      </c>
      <c r="G122" s="97" t="n">
        <v>1.28</v>
      </c>
    </row>
    <row r="123">
      <c r="C123" s="100" t="n"/>
      <c r="D123" s="96" t="inlineStr">
        <is>
          <t>8029404.0:SAREL APPAREILLAGE ELECTRIQUE - 2038.0x1638.0x1.45</t>
        </is>
      </c>
      <c r="E123" s="96" t="n">
        <v>0.05</v>
      </c>
      <c r="F123" s="96" t="n">
        <v>1.237</v>
      </c>
      <c r="G123" s="97" t="n">
        <v>3.19</v>
      </c>
    </row>
    <row r="124">
      <c r="C124" s="100" t="n"/>
      <c r="D124" s="96" t="inlineStr">
        <is>
          <t>8029403.0:SAREL APPAREILLAGE ELECTRIQUE - 1838.0x1638.0x1.45</t>
        </is>
      </c>
      <c r="E124" s="96" t="n">
        <v>0.01</v>
      </c>
      <c r="F124" s="96" t="n">
        <v>1.845</v>
      </c>
      <c r="G124" s="97" t="n">
        <v>27.68</v>
      </c>
    </row>
    <row r="125">
      <c r="C125" s="100" t="n"/>
      <c r="D125" s="96" t="inlineStr">
        <is>
          <t>8029402.0:SAREL APPAREILLAGE ELECTRIQUE - 1638.0x1638.0x1.45</t>
        </is>
      </c>
      <c r="E125" s="96" t="n">
        <v>0.03</v>
      </c>
      <c r="F125" s="96" t="n">
        <v>2.479</v>
      </c>
      <c r="G125" s="97" t="n">
        <v>12.78</v>
      </c>
    </row>
    <row r="126">
      <c r="C126" s="100" t="n"/>
      <c r="D126" s="96" t="inlineStr">
        <is>
          <t>8029400.0:SAREL APPAREILLAGE ELECTRIQUE - 1838.0x1838.0x1.45</t>
        </is>
      </c>
      <c r="E126" s="96" t="n">
        <v>0</v>
      </c>
      <c r="F126" s="96" t="n">
        <v>1.252</v>
      </c>
      <c r="G126" s="97" t="n">
        <v>69.94</v>
      </c>
    </row>
    <row r="127">
      <c r="C127" s="100" t="n"/>
      <c r="D127" s="96" t="inlineStr">
        <is>
          <t>8029412.0:SAREL APPAREILLAGE ELECTRIQUE - 1539.0x1339.0x1.15</t>
        </is>
      </c>
      <c r="E127" s="96" t="n">
        <v>0.01</v>
      </c>
      <c r="F127" s="96" t="n">
        <v>1.237</v>
      </c>
      <c r="G127" s="97" t="n">
        <v>11.59</v>
      </c>
    </row>
    <row r="128">
      <c r="C128" s="100" t="n"/>
      <c r="D128" s="96" t="inlineStr">
        <is>
          <t>8029409.0:SAREL APPAREILLAGE ELECTRIQUE - 1339.0x1339.0x1.15</t>
        </is>
      </c>
      <c r="E128" s="96" t="n">
        <v>0.04</v>
      </c>
      <c r="F128" s="96" t="n">
        <v>1.241</v>
      </c>
      <c r="G128" s="97" t="n">
        <v>3.9</v>
      </c>
    </row>
    <row r="129">
      <c r="C129" s="100" t="n"/>
      <c r="D129" s="96" t="inlineStr">
        <is>
          <t>8029394.0:SAREL APPAREILLAGE ELECTRIQUE - 2500.0x1455.0x1.15</t>
        </is>
      </c>
      <c r="E129" s="96" t="n">
        <v>0.08</v>
      </c>
      <c r="F129" s="96" t="n">
        <v>1.857</v>
      </c>
      <c r="G129" s="97" t="n">
        <v>3.11</v>
      </c>
    </row>
    <row r="130">
      <c r="C130" s="100" t="n"/>
      <c r="D130" s="96" t="inlineStr">
        <is>
          <t>8029392.0:SAREL APPAREILLAGE ELECTRIQUE - 2500.0x1650.0x2.0</t>
        </is>
      </c>
      <c r="E130" s="96" t="n">
        <v>0.07000000000000001</v>
      </c>
      <c r="F130" s="96" t="n">
        <v>2.442</v>
      </c>
      <c r="G130" s="97" t="n">
        <v>4.37</v>
      </c>
    </row>
    <row r="131">
      <c r="C131" s="100" t="n"/>
      <c r="D131" s="96" t="inlineStr">
        <is>
          <t>8029405.0:SAREL APPAREILLAGE ELECTRIQUE - 1838.0x1438.0x1.45</t>
        </is>
      </c>
      <c r="E131" s="96" t="n">
        <v>0.08</v>
      </c>
      <c r="F131" s="96" t="n">
        <v>3.711</v>
      </c>
      <c r="G131" s="97" t="n">
        <v>6.28</v>
      </c>
    </row>
    <row r="132">
      <c r="C132" s="100" t="n"/>
      <c r="D132" s="96" t="inlineStr">
        <is>
          <t>8029406.0:SAREL APPAREILLAGE ELECTRIQUE - 1439.0x1439.0x1.15</t>
        </is>
      </c>
      <c r="E132" s="96" t="n">
        <v>0.08</v>
      </c>
      <c r="F132" s="96" t="n">
        <v>2.529</v>
      </c>
      <c r="G132" s="97" t="n">
        <v>4.44</v>
      </c>
    </row>
    <row r="133">
      <c r="C133" s="100" t="n"/>
      <c r="D133" s="96" t="inlineStr">
        <is>
          <t>8058505.0:SAREL APPAREILLAGE ELECTRIQUE - 2007.0x1221.5x1.45</t>
        </is>
      </c>
      <c r="E133" s="96" t="n">
        <v>0.03</v>
      </c>
      <c r="F133" s="96" t="n">
        <v>1.393</v>
      </c>
      <c r="G133" s="97" t="n">
        <v>6.38</v>
      </c>
    </row>
    <row r="134">
      <c r="C134" s="100" t="n"/>
      <c r="D134" s="101" t="inlineStr">
        <is>
          <t>8029408.0:SAREL APPAREILLAGE ELECTRIQUE - 2000.0x1000.0x2.5</t>
        </is>
      </c>
      <c r="E134" s="101" t="n">
        <v>0.02</v>
      </c>
      <c r="F134" s="101" t="n">
        <v>0.62</v>
      </c>
      <c r="G134" s="102" t="n">
        <v>3.94</v>
      </c>
    </row>
    <row r="135">
      <c r="C135" s="100" t="n"/>
      <c r="D135" s="101" t="inlineStr">
        <is>
          <t>8029396.0:SAREL APPAREILLAGE ELECTRIQUE - 1838.0x1238.0x1.45</t>
        </is>
      </c>
      <c r="E135" s="101" t="n">
        <v>0.02</v>
      </c>
      <c r="F135" s="101" t="n">
        <v>0.62</v>
      </c>
      <c r="G135" s="102" t="n">
        <v>4.56</v>
      </c>
    </row>
    <row r="136">
      <c r="C136" s="103" t="n"/>
      <c r="D136" s="104" t="inlineStr">
        <is>
          <t>8029398.0:SAREL APPAREILLAGE ELECTRIQUE - 2500.0x1250.0x1.0</t>
        </is>
      </c>
      <c r="E136" s="104" t="n">
        <v>0.03</v>
      </c>
      <c r="F136" s="104" t="n">
        <v>2.453</v>
      </c>
      <c r="G136" s="105" t="n">
        <v>12.08</v>
      </c>
    </row>
    <row r="140">
      <c r="C140" s="92" t="inlineStr">
        <is>
          <t>Details for : L1 serie - Postes Forecast W4</t>
        </is>
      </c>
      <c r="D140" s="93" t="inlineStr">
        <is>
          <t>Article : Client - Length x Width x Thickness</t>
        </is>
      </c>
      <c r="E140" s="93" t="inlineStr">
        <is>
          <t>Postes</t>
        </is>
      </c>
      <c r="F140" s="93" t="inlineStr">
        <is>
          <t>Tonnes</t>
        </is>
      </c>
      <c r="G140" s="94" t="inlineStr">
        <is>
          <t>Productivity</t>
        </is>
      </c>
    </row>
    <row r="141">
      <c r="C141" s="95" t="inlineStr">
        <is>
          <t>Sum Tonnes : 216.08</t>
        </is>
      </c>
      <c r="D141" s="96" t="inlineStr">
        <is>
          <t>8029299.0:SEBP PAVAILLER - 3000.0x1500.0x1.5</t>
        </is>
      </c>
      <c r="E141" s="96" t="n">
        <v>0.09</v>
      </c>
      <c r="F141" s="96" t="n">
        <v>9.5</v>
      </c>
      <c r="G141" s="97" t="n">
        <v>14.02</v>
      </c>
    </row>
    <row r="142">
      <c r="C142" s="95" t="inlineStr">
        <is>
          <t>Sum Postes : 3.85</t>
        </is>
      </c>
      <c r="D142" s="96" t="inlineStr">
        <is>
          <t>8012581.0:SNOP VILLEPINTE - 430.0x1000.0x0.75</t>
        </is>
      </c>
      <c r="E142" s="96" t="n">
        <v>0.1</v>
      </c>
      <c r="F142" s="96" t="n">
        <v>2.5</v>
      </c>
      <c r="G142" s="97" t="n">
        <v>3.21</v>
      </c>
    </row>
    <row r="143">
      <c r="C143" s="95" t="inlineStr">
        <is>
          <t>Average Productivity : 11.94</t>
        </is>
      </c>
      <c r="D143" s="96" t="inlineStr">
        <is>
          <t>8012605.0:SNOP VILLEPINTE - 530.0x650.0x2.5</t>
        </is>
      </c>
      <c r="E143" s="96" t="n">
        <v>0.18</v>
      </c>
      <c r="F143" s="96" t="n">
        <v>8.56</v>
      </c>
      <c r="G143" s="97" t="n">
        <v>6.29</v>
      </c>
    </row>
    <row r="144">
      <c r="C144" s="100" t="n"/>
      <c r="D144" s="96" t="inlineStr">
        <is>
          <t>8012560.0:SOFEDIT GOUZEAUCOURT - 1920.0x1825.0x0.8</t>
        </is>
      </c>
      <c r="E144" s="96" t="n">
        <v>0.49</v>
      </c>
      <c r="F144" s="96" t="n">
        <v>24.71168</v>
      </c>
      <c r="G144" s="97" t="n">
        <v>6.67</v>
      </c>
    </row>
    <row r="145">
      <c r="C145" s="100" t="n"/>
      <c r="D145" s="98" t="inlineStr">
        <is>
          <t>8032595.0:GEDIA POLAND SP Z.O.O - 1861.0x273.0x1.2</t>
        </is>
      </c>
      <c r="E145" s="98" t="n">
        <v>1.2</v>
      </c>
      <c r="F145" s="98" t="n">
        <v>72</v>
      </c>
      <c r="G145" s="99" t="n">
        <v>7.99</v>
      </c>
    </row>
    <row r="146">
      <c r="C146" s="100" t="n"/>
      <c r="D146" s="96" t="inlineStr">
        <is>
          <t>8057994.0:RENAULT SAS - 790.0x210.0x2.0</t>
        </is>
      </c>
      <c r="E146" s="96" t="n">
        <v>0.5</v>
      </c>
      <c r="F146" s="96" t="n">
        <v>18.55</v>
      </c>
      <c r="G146" s="97" t="n">
        <v>4.91</v>
      </c>
    </row>
    <row r="147">
      <c r="C147" s="100" t="n"/>
      <c r="D147" s="96" t="inlineStr">
        <is>
          <t>8055824.0:MARTINREA BERGNEUSTADT GmbH - 2077.0x367.0x2.0</t>
        </is>
      </c>
      <c r="E147" s="96" t="n">
        <v>0.52</v>
      </c>
      <c r="F147" s="96" t="n">
        <v>47.916</v>
      </c>
      <c r="G147" s="97" t="n">
        <v>12.21</v>
      </c>
    </row>
    <row r="148">
      <c r="C148" s="100" t="n"/>
      <c r="D148" s="96" t="inlineStr">
        <is>
          <t>8029395.0:SAREL APPAREILLAGE ELECTRIQUE - 1439.0x1239.0x1.15</t>
        </is>
      </c>
      <c r="E148" s="96" t="n">
        <v>0.06</v>
      </c>
      <c r="F148" s="96" t="n">
        <v>2.492</v>
      </c>
      <c r="G148" s="97" t="n">
        <v>6</v>
      </c>
    </row>
    <row r="149">
      <c r="C149" s="100" t="n"/>
      <c r="D149" s="96" t="inlineStr">
        <is>
          <t>8029413.0:SAREL APPAREILLAGE ELECTRIQUE - 1639.0x1439.0x1.15</t>
        </is>
      </c>
      <c r="E149" s="96" t="n">
        <v>0.03</v>
      </c>
      <c r="F149" s="96" t="n">
        <v>3.703</v>
      </c>
      <c r="G149" s="97" t="n">
        <v>14.22</v>
      </c>
    </row>
    <row r="150">
      <c r="C150" s="100" t="n"/>
      <c r="D150" s="96" t="inlineStr">
        <is>
          <t>8029401.0:SAREL APPAREILLAGE ELECTRIQUE - 1638.0x1438.0x1.45</t>
        </is>
      </c>
      <c r="E150" s="96" t="n">
        <v>0.13</v>
      </c>
      <c r="F150" s="96" t="n">
        <v>1.228</v>
      </c>
      <c r="G150" s="97" t="n">
        <v>1.28</v>
      </c>
    </row>
    <row r="151">
      <c r="C151" s="100" t="n"/>
      <c r="D151" s="96" t="inlineStr">
        <is>
          <t>8029404.0:SAREL APPAREILLAGE ELECTRIQUE - 2038.0x1638.0x1.45</t>
        </is>
      </c>
      <c r="E151" s="96" t="n">
        <v>0.05</v>
      </c>
      <c r="F151" s="96" t="n">
        <v>1.237</v>
      </c>
      <c r="G151" s="97" t="n">
        <v>3.19</v>
      </c>
    </row>
    <row r="152">
      <c r="C152" s="100" t="n"/>
      <c r="D152" s="96" t="inlineStr">
        <is>
          <t>8029403.0:SAREL APPAREILLAGE ELECTRIQUE - 1838.0x1638.0x1.45</t>
        </is>
      </c>
      <c r="E152" s="96" t="n">
        <v>0.01</v>
      </c>
      <c r="F152" s="96" t="n">
        <v>1.845</v>
      </c>
      <c r="G152" s="97" t="n">
        <v>27.68</v>
      </c>
    </row>
    <row r="153">
      <c r="C153" s="100" t="n"/>
      <c r="D153" s="96" t="inlineStr">
        <is>
          <t>8029402.0:SAREL APPAREILLAGE ELECTRIQUE - 1638.0x1638.0x1.45</t>
        </is>
      </c>
      <c r="E153" s="96" t="n">
        <v>0.03</v>
      </c>
      <c r="F153" s="96" t="n">
        <v>2.479</v>
      </c>
      <c r="G153" s="97" t="n">
        <v>12.78</v>
      </c>
    </row>
    <row r="154">
      <c r="C154" s="100" t="n"/>
      <c r="D154" s="96" t="inlineStr">
        <is>
          <t>8029400.0:SAREL APPAREILLAGE ELECTRIQUE - 1838.0x1838.0x1.45</t>
        </is>
      </c>
      <c r="E154" s="96" t="n">
        <v>0</v>
      </c>
      <c r="F154" s="96" t="n">
        <v>1.252</v>
      </c>
      <c r="G154" s="97" t="n">
        <v>69.94</v>
      </c>
    </row>
    <row r="155">
      <c r="C155" s="100" t="n"/>
      <c r="D155" s="96" t="inlineStr">
        <is>
          <t>8029412.0:SAREL APPAREILLAGE ELECTRIQUE - 1539.0x1339.0x1.15</t>
        </is>
      </c>
      <c r="E155" s="96" t="n">
        <v>0.01</v>
      </c>
      <c r="F155" s="96" t="n">
        <v>1.237</v>
      </c>
      <c r="G155" s="97" t="n">
        <v>11.59</v>
      </c>
    </row>
    <row r="156">
      <c r="C156" s="100" t="n"/>
      <c r="D156" s="96" t="inlineStr">
        <is>
          <t>8029409.0:SAREL APPAREILLAGE ELECTRIQUE - 1339.0x1339.0x1.15</t>
        </is>
      </c>
      <c r="E156" s="96" t="n">
        <v>0.04</v>
      </c>
      <c r="F156" s="96" t="n">
        <v>1.241</v>
      </c>
      <c r="G156" s="97" t="n">
        <v>3.9</v>
      </c>
    </row>
    <row r="157">
      <c r="C157" s="100" t="n"/>
      <c r="D157" s="96" t="inlineStr">
        <is>
          <t>8029394.0:SAREL APPAREILLAGE ELECTRIQUE - 2500.0x1455.0x1.15</t>
        </is>
      </c>
      <c r="E157" s="96" t="n">
        <v>0.08</v>
      </c>
      <c r="F157" s="96" t="n">
        <v>1.857</v>
      </c>
      <c r="G157" s="97" t="n">
        <v>3.11</v>
      </c>
    </row>
    <row r="158">
      <c r="C158" s="100" t="n"/>
      <c r="D158" s="96" t="inlineStr">
        <is>
          <t>8029392.0:SAREL APPAREILLAGE ELECTRIQUE - 2500.0x1650.0x2.0</t>
        </is>
      </c>
      <c r="E158" s="96" t="n">
        <v>0.07000000000000001</v>
      </c>
      <c r="F158" s="96" t="n">
        <v>2.442</v>
      </c>
      <c r="G158" s="97" t="n">
        <v>4.37</v>
      </c>
    </row>
    <row r="159">
      <c r="C159" s="100" t="n"/>
      <c r="D159" s="96" t="inlineStr">
        <is>
          <t>8029405.0:SAREL APPAREILLAGE ELECTRIQUE - 1838.0x1438.0x1.45</t>
        </is>
      </c>
      <c r="E159" s="96" t="n">
        <v>0.08</v>
      </c>
      <c r="F159" s="96" t="n">
        <v>3.711</v>
      </c>
      <c r="G159" s="97" t="n">
        <v>6.28</v>
      </c>
    </row>
    <row r="160">
      <c r="C160" s="100" t="n"/>
      <c r="D160" s="96" t="inlineStr">
        <is>
          <t>8029406.0:SAREL APPAREILLAGE ELECTRIQUE - 1439.0x1439.0x1.15</t>
        </is>
      </c>
      <c r="E160" s="96" t="n">
        <v>0.08</v>
      </c>
      <c r="F160" s="96" t="n">
        <v>2.529</v>
      </c>
      <c r="G160" s="97" t="n">
        <v>4.44</v>
      </c>
    </row>
    <row r="161">
      <c r="C161" s="100" t="n"/>
      <c r="D161" s="96" t="inlineStr">
        <is>
          <t>8058505.0:SAREL APPAREILLAGE ELECTRIQUE - 2007.0x1221.5x1.45</t>
        </is>
      </c>
      <c r="E161" s="96" t="n">
        <v>0.03</v>
      </c>
      <c r="F161" s="96" t="n">
        <v>1.393</v>
      </c>
      <c r="G161" s="97" t="n">
        <v>6.38</v>
      </c>
    </row>
    <row r="162">
      <c r="C162" s="100" t="n"/>
      <c r="D162" s="101" t="inlineStr">
        <is>
          <t>8029408.0:SAREL APPAREILLAGE ELECTRIQUE - 2000.0x1000.0x2.5</t>
        </is>
      </c>
      <c r="E162" s="101" t="n">
        <v>0.02</v>
      </c>
      <c r="F162" s="101" t="n">
        <v>0.62</v>
      </c>
      <c r="G162" s="102" t="n">
        <v>3.94</v>
      </c>
    </row>
    <row r="163">
      <c r="C163" s="100" t="n"/>
      <c r="D163" s="101" t="inlineStr">
        <is>
          <t>8029396.0:SAREL APPAREILLAGE ELECTRIQUE - 1838.0x1238.0x1.45</t>
        </is>
      </c>
      <c r="E163" s="101" t="n">
        <v>0.02</v>
      </c>
      <c r="F163" s="101" t="n">
        <v>0.62</v>
      </c>
      <c r="G163" s="102" t="n">
        <v>4.56</v>
      </c>
    </row>
    <row r="164">
      <c r="C164" s="103" t="n"/>
      <c r="D164" s="104" t="inlineStr">
        <is>
          <t>8029398.0:SAREL APPAREILLAGE ELECTRIQUE - 2500.0x1250.0x1.0</t>
        </is>
      </c>
      <c r="E164" s="104" t="n">
        <v>0.03</v>
      </c>
      <c r="F164" s="104" t="n">
        <v>2.453</v>
      </c>
      <c r="G164" s="105" t="n">
        <v>12.08</v>
      </c>
    </row>
    <row r="168">
      <c r="C168" s="92" t="inlineStr">
        <is>
          <t>Details for : L1 serie - Postes Forecast W5</t>
        </is>
      </c>
      <c r="D168" s="93" t="inlineStr">
        <is>
          <t>Article : Client - Length x Width x Thickness</t>
        </is>
      </c>
      <c r="E168" s="93" t="inlineStr">
        <is>
          <t>Postes</t>
        </is>
      </c>
      <c r="F168" s="93" t="inlineStr">
        <is>
          <t>Tonnes</t>
        </is>
      </c>
      <c r="G168" s="94" t="inlineStr">
        <is>
          <t>Productivity</t>
        </is>
      </c>
    </row>
    <row r="169">
      <c r="C169" s="95" t="inlineStr">
        <is>
          <t>Sum Tonnes : 280.6</t>
        </is>
      </c>
      <c r="D169" s="96" t="inlineStr">
        <is>
          <t>8029297.0:SEBP PAVAILLER - 3000.0x1500.0x1.0</t>
        </is>
      </c>
      <c r="E169" s="96" t="n">
        <v>0.21</v>
      </c>
      <c r="F169" s="96" t="n">
        <v>11</v>
      </c>
      <c r="G169" s="97" t="n">
        <v>7.09</v>
      </c>
    </row>
    <row r="170">
      <c r="C170" s="95" t="inlineStr">
        <is>
          <t>Sum Postes : 4.19</t>
        </is>
      </c>
      <c r="D170" s="96" t="inlineStr">
        <is>
          <t>8109448.0:VIESSMANN FAULQUEMONT SAS - 2103.0x1654.0x0.7</t>
        </is>
      </c>
      <c r="E170" s="96" t="n">
        <v>0.1</v>
      </c>
      <c r="F170" s="96" t="n">
        <v>20</v>
      </c>
      <c r="G170" s="97" t="n">
        <v>27.71</v>
      </c>
    </row>
    <row r="171">
      <c r="C171" s="95" t="inlineStr">
        <is>
          <t>Average Productivity : 11.94</t>
        </is>
      </c>
      <c r="D171" s="96" t="inlineStr">
        <is>
          <t>8012591.0:GEDIA POLAND SP Z.O.O - 2210.0x551.0x2.4</t>
        </is>
      </c>
      <c r="E171" s="96" t="n">
        <v>0.53</v>
      </c>
      <c r="F171" s="96" t="n">
        <v>30</v>
      </c>
      <c r="G171" s="97" t="n">
        <v>7.61</v>
      </c>
    </row>
    <row r="172">
      <c r="C172" s="100" t="n"/>
      <c r="D172" s="96" t="inlineStr">
        <is>
          <t>8012607.0:SNOP VILLEPINTE - 1268.0x490.0x0.8</t>
        </is>
      </c>
      <c r="E172" s="96" t="n">
        <v>0.21</v>
      </c>
      <c r="F172" s="96" t="n">
        <v>10</v>
      </c>
      <c r="G172" s="97" t="n">
        <v>6.5</v>
      </c>
    </row>
    <row r="173">
      <c r="C173" s="100" t="n"/>
      <c r="D173" s="96" t="inlineStr">
        <is>
          <t>8012603.0:SNOP VILLEPINTE - 465.0x725.0x1.7</t>
        </is>
      </c>
      <c r="E173" s="96" t="n">
        <v>0.29</v>
      </c>
      <c r="F173" s="96" t="n">
        <v>12.1</v>
      </c>
      <c r="G173" s="97" t="n">
        <v>5.58</v>
      </c>
    </row>
    <row r="174">
      <c r="C174" s="100" t="n"/>
      <c r="D174" s="96" t="inlineStr">
        <is>
          <t>8032515.0:GEDIA POLAND SP Z.O.O - 1480.0x268.0x1.5</t>
        </is>
      </c>
      <c r="E174" s="96" t="n">
        <v>0.11</v>
      </c>
      <c r="F174" s="96" t="n">
        <v>4.7</v>
      </c>
      <c r="G174" s="97" t="n">
        <v>5.95</v>
      </c>
    </row>
    <row r="175">
      <c r="C175" s="100" t="n"/>
      <c r="D175" s="96" t="inlineStr">
        <is>
          <t>8032516.0:GEDIA POLAND SP Z.O.O - 640.0x346.0x2.0</t>
        </is>
      </c>
      <c r="E175" s="96" t="n">
        <v>0.12</v>
      </c>
      <c r="F175" s="96" t="n">
        <v>3.5</v>
      </c>
      <c r="G175" s="97" t="n">
        <v>3.88</v>
      </c>
    </row>
    <row r="176">
      <c r="C176" s="100" t="n"/>
      <c r="D176" s="96" t="inlineStr">
        <is>
          <t>8032518.0:GEDIA POLAND SP Z.O.O - 1024.0x650.0x1.0</t>
        </is>
      </c>
      <c r="E176" s="96" t="n">
        <v>0.28</v>
      </c>
      <c r="F176" s="96" t="n">
        <v>13.2</v>
      </c>
      <c r="G176" s="97" t="n">
        <v>6.24</v>
      </c>
    </row>
    <row r="177">
      <c r="C177" s="100" t="n"/>
      <c r="D177" s="98" t="inlineStr">
        <is>
          <t>8055824.0:MARTINREA BERGNEUSTADT GmbH - 2077.0x367.0x2.0</t>
        </is>
      </c>
      <c r="E177" s="98" t="n">
        <v>1.57</v>
      </c>
      <c r="F177" s="98" t="n">
        <v>143.748</v>
      </c>
      <c r="G177" s="99" t="n">
        <v>12.21</v>
      </c>
    </row>
    <row r="178">
      <c r="C178" s="100" t="n"/>
      <c r="D178" s="96" t="inlineStr">
        <is>
          <t>8029395.0:SAREL APPAREILLAGE ELECTRIQUE - 1439.0x1239.0x1.15</t>
        </is>
      </c>
      <c r="E178" s="96" t="n">
        <v>0.06</v>
      </c>
      <c r="F178" s="96" t="n">
        <v>2.495</v>
      </c>
      <c r="G178" s="97" t="n">
        <v>6</v>
      </c>
    </row>
    <row r="179">
      <c r="C179" s="100" t="n"/>
      <c r="D179" s="96" t="inlineStr">
        <is>
          <t>8029413.0:SAREL APPAREILLAGE ELECTRIQUE - 1639.0x1439.0x1.15</t>
        </is>
      </c>
      <c r="E179" s="96" t="n">
        <v>0.03</v>
      </c>
      <c r="F179" s="96" t="n">
        <v>3.703</v>
      </c>
      <c r="G179" s="97" t="n">
        <v>14.22</v>
      </c>
    </row>
    <row r="180">
      <c r="C180" s="100" t="n"/>
      <c r="D180" s="96" t="inlineStr">
        <is>
          <t>8029401.0:SAREL APPAREILLAGE ELECTRIQUE - 1638.0x1438.0x1.45</t>
        </is>
      </c>
      <c r="E180" s="96" t="n">
        <v>0.13</v>
      </c>
      <c r="F180" s="96" t="n">
        <v>1.228</v>
      </c>
      <c r="G180" s="97" t="n">
        <v>1.28</v>
      </c>
    </row>
    <row r="181">
      <c r="C181" s="100" t="n"/>
      <c r="D181" s="96" t="inlineStr">
        <is>
          <t>8029404.0:SAREL APPAREILLAGE ELECTRIQUE - 2038.0x1638.0x1.45</t>
        </is>
      </c>
      <c r="E181" s="96" t="n">
        <v>0.05</v>
      </c>
      <c r="F181" s="96" t="n">
        <v>1.238</v>
      </c>
      <c r="G181" s="97" t="n">
        <v>3.19</v>
      </c>
    </row>
    <row r="182">
      <c r="C182" s="100" t="n"/>
      <c r="D182" s="96" t="inlineStr">
        <is>
          <t>8029403.0:SAREL APPAREILLAGE ELECTRIQUE - 1838.0x1638.0x1.45</t>
        </is>
      </c>
      <c r="E182" s="96" t="n">
        <v>0.01</v>
      </c>
      <c r="F182" s="96" t="n">
        <v>1.848</v>
      </c>
      <c r="G182" s="97" t="n">
        <v>27.68</v>
      </c>
    </row>
    <row r="183">
      <c r="C183" s="100" t="n"/>
      <c r="D183" s="96" t="inlineStr">
        <is>
          <t>8029402.0:SAREL APPAREILLAGE ELECTRIQUE - 1638.0x1638.0x1.45</t>
        </is>
      </c>
      <c r="E183" s="96" t="n">
        <v>0.03</v>
      </c>
      <c r="F183" s="96" t="n">
        <v>2.479</v>
      </c>
      <c r="G183" s="97" t="n">
        <v>12.78</v>
      </c>
    </row>
    <row r="184">
      <c r="C184" s="100" t="n"/>
      <c r="D184" s="96" t="inlineStr">
        <is>
          <t>8029400.0:SAREL APPAREILLAGE ELECTRIQUE - 1838.0x1838.0x1.45</t>
        </is>
      </c>
      <c r="E184" s="96" t="n">
        <v>0</v>
      </c>
      <c r="F184" s="96" t="n">
        <v>1.255</v>
      </c>
      <c r="G184" s="97" t="n">
        <v>69.94</v>
      </c>
    </row>
    <row r="185">
      <c r="C185" s="100" t="n"/>
      <c r="D185" s="96" t="inlineStr">
        <is>
          <t>8029412.0:SAREL APPAREILLAGE ELECTRIQUE - 1539.0x1339.0x1.15</t>
        </is>
      </c>
      <c r="E185" s="96" t="n">
        <v>0.01</v>
      </c>
      <c r="F185" s="96" t="n">
        <v>1.237</v>
      </c>
      <c r="G185" s="97" t="n">
        <v>11.59</v>
      </c>
    </row>
    <row r="186">
      <c r="C186" s="100" t="n"/>
      <c r="D186" s="96" t="inlineStr">
        <is>
          <t>8029409.0:SAREL APPAREILLAGE ELECTRIQUE - 1339.0x1339.0x1.15</t>
        </is>
      </c>
      <c r="E186" s="96" t="n">
        <v>0.04</v>
      </c>
      <c r="F186" s="96" t="n">
        <v>1.243</v>
      </c>
      <c r="G186" s="97" t="n">
        <v>3.9</v>
      </c>
    </row>
    <row r="187">
      <c r="C187" s="100" t="n"/>
      <c r="D187" s="96" t="inlineStr">
        <is>
          <t>8029394.0:SAREL APPAREILLAGE ELECTRIQUE - 2500.0x1455.0x1.15</t>
        </is>
      </c>
      <c r="E187" s="96" t="n">
        <v>0.08</v>
      </c>
      <c r="F187" s="96" t="n">
        <v>1.859</v>
      </c>
      <c r="G187" s="97" t="n">
        <v>3.11</v>
      </c>
    </row>
    <row r="188">
      <c r="C188" s="100" t="n"/>
      <c r="D188" s="96" t="inlineStr">
        <is>
          <t>8029392.0:SAREL APPAREILLAGE ELECTRIQUE - 2500.0x1650.0x2.0</t>
        </is>
      </c>
      <c r="E188" s="96" t="n">
        <v>0.07000000000000001</v>
      </c>
      <c r="F188" s="96" t="n">
        <v>2.442</v>
      </c>
      <c r="G188" s="97" t="n">
        <v>4.37</v>
      </c>
    </row>
    <row r="189">
      <c r="C189" s="100" t="n"/>
      <c r="D189" s="96" t="inlineStr">
        <is>
          <t>8029405.0:SAREL APPAREILLAGE ELECTRIQUE - 1838.0x1438.0x1.45</t>
        </is>
      </c>
      <c r="E189" s="96" t="n">
        <v>0.08</v>
      </c>
      <c r="F189" s="96" t="n">
        <v>3.712</v>
      </c>
      <c r="G189" s="97" t="n">
        <v>6.28</v>
      </c>
    </row>
    <row r="190">
      <c r="C190" s="100" t="n"/>
      <c r="D190" s="96" t="inlineStr">
        <is>
          <t>8029406.0:SAREL APPAREILLAGE ELECTRIQUE - 1439.0x1439.0x1.15</t>
        </is>
      </c>
      <c r="E190" s="96" t="n">
        <v>0.08</v>
      </c>
      <c r="F190" s="96" t="n">
        <v>2.531</v>
      </c>
      <c r="G190" s="97" t="n">
        <v>4.44</v>
      </c>
    </row>
    <row r="191">
      <c r="C191" s="100" t="n"/>
      <c r="D191" s="96" t="inlineStr">
        <is>
          <t>8058505.0:SAREL APPAREILLAGE ELECTRIQUE - 2007.0x1221.5x1.45</t>
        </is>
      </c>
      <c r="E191" s="96" t="n">
        <v>0.03</v>
      </c>
      <c r="F191" s="96" t="n">
        <v>1.393</v>
      </c>
      <c r="G191" s="97" t="n">
        <v>6.38</v>
      </c>
    </row>
    <row r="192">
      <c r="C192" s="100" t="n"/>
      <c r="D192" s="101" t="inlineStr">
        <is>
          <t>8029408.0:SAREL APPAREILLAGE ELECTRIQUE - 2000.0x1000.0x2.5</t>
        </is>
      </c>
      <c r="E192" s="101" t="n">
        <v>0.02</v>
      </c>
      <c r="F192" s="101" t="n">
        <v>0.62</v>
      </c>
      <c r="G192" s="102" t="n">
        <v>3.94</v>
      </c>
    </row>
    <row r="193">
      <c r="C193" s="100" t="n"/>
      <c r="D193" s="101" t="inlineStr">
        <is>
          <t>8029396.0:SAREL APPAREILLAGE ELECTRIQUE - 1838.0x1238.0x1.45</t>
        </is>
      </c>
      <c r="E193" s="101" t="n">
        <v>0.02</v>
      </c>
      <c r="F193" s="101" t="n">
        <v>0.62</v>
      </c>
      <c r="G193" s="102" t="n">
        <v>4.56</v>
      </c>
    </row>
    <row r="194">
      <c r="C194" s="103" t="n"/>
      <c r="D194" s="104" t="inlineStr">
        <is>
          <t>8029398.0:SAREL APPAREILLAGE ELECTRIQUE - 2500.0x1250.0x1.0</t>
        </is>
      </c>
      <c r="E194" s="104" t="n">
        <v>0.03</v>
      </c>
      <c r="F194" s="104" t="n">
        <v>2.453</v>
      </c>
      <c r="G194" s="105" t="n">
        <v>12.08</v>
      </c>
    </row>
    <row r="198">
      <c r="C198" s="92" t="inlineStr">
        <is>
          <t>Details for : L1 serie - Postes Forecast W6</t>
        </is>
      </c>
      <c r="D198" s="93" t="inlineStr">
        <is>
          <t>Article : Client - Length x Width x Thickness</t>
        </is>
      </c>
      <c r="E198" s="93" t="inlineStr">
        <is>
          <t>Postes</t>
        </is>
      </c>
      <c r="F198" s="93" t="inlineStr">
        <is>
          <t>Tonnes</t>
        </is>
      </c>
      <c r="G198" s="94" t="inlineStr">
        <is>
          <t>Productivity</t>
        </is>
      </c>
    </row>
    <row r="199">
      <c r="C199" s="95" t="inlineStr">
        <is>
          <t>Sum Tonnes : 295.4</t>
        </is>
      </c>
      <c r="D199" s="96" t="inlineStr">
        <is>
          <t>8029212.0:BONGARD SAS - 2000.0x1500.0x1.5</t>
        </is>
      </c>
      <c r="E199" s="96" t="n">
        <v>0.04</v>
      </c>
      <c r="F199" s="96" t="n">
        <v>2.5</v>
      </c>
      <c r="G199" s="97" t="n">
        <v>8.82</v>
      </c>
    </row>
    <row r="200">
      <c r="C200" s="95" t="inlineStr">
        <is>
          <t>Sum Postes : 6.4</t>
        </is>
      </c>
      <c r="D200" s="96" t="inlineStr">
        <is>
          <t>8105974.0:BONGARD SAS - 1900.0x950.0x2.0</t>
        </is>
      </c>
      <c r="E200" s="96" t="n">
        <v>0.05</v>
      </c>
      <c r="F200" s="96" t="n">
        <v>2.5</v>
      </c>
      <c r="G200" s="97" t="n">
        <v>6.48</v>
      </c>
    </row>
    <row r="201">
      <c r="C201" s="95" t="inlineStr">
        <is>
          <t>Average Productivity : 11.94</t>
        </is>
      </c>
      <c r="D201" s="96" t="inlineStr">
        <is>
          <t>8105974.0:BONGARD SAS - 1900.0x950.0x2.0</t>
        </is>
      </c>
      <c r="E201" s="96" t="n">
        <v>0.05</v>
      </c>
      <c r="F201" s="96" t="n">
        <v>2.445</v>
      </c>
      <c r="G201" s="97" t="n">
        <v>6.48</v>
      </c>
    </row>
    <row r="202">
      <c r="C202" s="100" t="n"/>
      <c r="D202" s="96" t="inlineStr">
        <is>
          <t>8105975.0:BONGARD SAS - 1900.0x1350.0x2.0</t>
        </is>
      </c>
      <c r="E202" s="96" t="n">
        <v>0.04</v>
      </c>
      <c r="F202" s="96" t="n">
        <v>2.5</v>
      </c>
      <c r="G202" s="97" t="n">
        <v>7.51</v>
      </c>
    </row>
    <row r="203">
      <c r="C203" s="100" t="n"/>
      <c r="D203" s="96" t="inlineStr">
        <is>
          <t>8105975.0:BONGARD SAS - 1900.0x1350.0x2.0</t>
        </is>
      </c>
      <c r="E203" s="96" t="n">
        <v>0.04</v>
      </c>
      <c r="F203" s="96" t="n">
        <v>2.5</v>
      </c>
      <c r="G203" s="97" t="n">
        <v>7.51</v>
      </c>
    </row>
    <row r="204">
      <c r="C204" s="100" t="n"/>
      <c r="D204" s="96" t="inlineStr">
        <is>
          <t>8105975.0:BONGARD SAS - 1900.0x1350.0x2.0</t>
        </is>
      </c>
      <c r="E204" s="96" t="n">
        <v>0.04</v>
      </c>
      <c r="F204" s="96" t="n">
        <v>2.5</v>
      </c>
      <c r="G204" s="97" t="n">
        <v>7.51</v>
      </c>
    </row>
    <row r="205">
      <c r="C205" s="100" t="n"/>
      <c r="D205" s="96" t="inlineStr">
        <is>
          <t>8105975.0:BONGARD SAS - 1900.0x1350.0x2.0</t>
        </is>
      </c>
      <c r="E205" s="96" t="n">
        <v>0.04</v>
      </c>
      <c r="F205" s="96" t="n">
        <v>2.5</v>
      </c>
      <c r="G205" s="97" t="n">
        <v>7.51</v>
      </c>
    </row>
    <row r="206">
      <c r="C206" s="100" t="n"/>
      <c r="D206" s="96" t="inlineStr">
        <is>
          <t>8029213.0:BONGARD SAS - 3000.0x1500.0x1.5</t>
        </is>
      </c>
      <c r="E206" s="96" t="n">
        <v>0.02</v>
      </c>
      <c r="F206" s="96" t="n">
        <v>2.5</v>
      </c>
      <c r="G206" s="97" t="n">
        <v>21.52</v>
      </c>
    </row>
    <row r="207">
      <c r="C207" s="100" t="n"/>
      <c r="D207" s="96" t="inlineStr">
        <is>
          <t>8029213.0:BONGARD SAS - 3000.0x1500.0x1.5</t>
        </is>
      </c>
      <c r="E207" s="96" t="n">
        <v>0.02</v>
      </c>
      <c r="F207" s="96" t="n">
        <v>2.5</v>
      </c>
      <c r="G207" s="97" t="n">
        <v>21.52</v>
      </c>
    </row>
    <row r="208">
      <c r="C208" s="100" t="n"/>
      <c r="D208" s="96" t="inlineStr">
        <is>
          <t>8029213.0:BONGARD SAS - 3000.0x1500.0x1.5</t>
        </is>
      </c>
      <c r="E208" s="96" t="n">
        <v>0.02</v>
      </c>
      <c r="F208" s="96" t="n">
        <v>2.5</v>
      </c>
      <c r="G208" s="97" t="n">
        <v>21.52</v>
      </c>
    </row>
    <row r="209">
      <c r="C209" s="100" t="n"/>
      <c r="D209" s="96" t="inlineStr">
        <is>
          <t>8029215.0:BONGARD SAS - 3000.0x1500.0x2.0</t>
        </is>
      </c>
      <c r="E209" s="96" t="n">
        <v>0.01</v>
      </c>
      <c r="F209" s="96" t="n">
        <v>2.5</v>
      </c>
      <c r="G209" s="97" t="n">
        <v>25.51</v>
      </c>
    </row>
    <row r="210">
      <c r="C210" s="100" t="n"/>
      <c r="D210" s="96" t="inlineStr">
        <is>
          <t>8029215.0:BONGARD SAS - 3000.0x1500.0x2.0</t>
        </is>
      </c>
      <c r="E210" s="96" t="n">
        <v>0.01</v>
      </c>
      <c r="F210" s="96" t="n">
        <v>2.5</v>
      </c>
      <c r="G210" s="97" t="n">
        <v>25.51</v>
      </c>
    </row>
    <row r="211">
      <c r="C211" s="100" t="n"/>
      <c r="D211" s="96" t="inlineStr">
        <is>
          <t>8029215.0:BONGARD SAS - 3000.0x1500.0x2.0</t>
        </is>
      </c>
      <c r="E211" s="96" t="n">
        <v>0.01</v>
      </c>
      <c r="F211" s="96" t="n">
        <v>2.5</v>
      </c>
      <c r="G211" s="97" t="n">
        <v>25.51</v>
      </c>
    </row>
    <row r="212">
      <c r="C212" s="100" t="n"/>
      <c r="D212" s="96" t="inlineStr">
        <is>
          <t>8029215.0:BONGARD SAS - 3000.0x1500.0x2.0</t>
        </is>
      </c>
      <c r="E212" s="96" t="n">
        <v>0.01</v>
      </c>
      <c r="F212" s="96" t="n">
        <v>2.5</v>
      </c>
      <c r="G212" s="97" t="n">
        <v>25.51</v>
      </c>
    </row>
    <row r="213">
      <c r="C213" s="100" t="n"/>
      <c r="D213" s="96" t="inlineStr">
        <is>
          <t>8029215.0:BONGARD SAS - 3000.0x1500.0x2.0</t>
        </is>
      </c>
      <c r="E213" s="96" t="n">
        <v>0.01</v>
      </c>
      <c r="F213" s="96" t="n">
        <v>2.5</v>
      </c>
      <c r="G213" s="97" t="n">
        <v>25.51</v>
      </c>
    </row>
    <row r="214">
      <c r="C214" s="100" t="n"/>
      <c r="D214" s="96" t="inlineStr">
        <is>
          <t>8012581.0:SNOP VILLEPINTE - 430.0x1000.0x0.75</t>
        </is>
      </c>
      <c r="E214" s="96" t="n">
        <v>0.15</v>
      </c>
      <c r="F214" s="96" t="n">
        <v>3.5</v>
      </c>
      <c r="G214" s="97" t="n">
        <v>3.21</v>
      </c>
    </row>
    <row r="215">
      <c r="C215" s="100" t="n"/>
      <c r="D215" s="96" t="inlineStr">
        <is>
          <t>8012607.0:SNOP VILLEPINTE - 1268.0x490.0x0.8</t>
        </is>
      </c>
      <c r="E215" s="96" t="n">
        <v>0.04</v>
      </c>
      <c r="F215" s="96" t="n">
        <v>2</v>
      </c>
      <c r="G215" s="97" t="n">
        <v>6.5</v>
      </c>
    </row>
    <row r="216">
      <c r="C216" s="100" t="n"/>
      <c r="D216" s="96" t="inlineStr">
        <is>
          <t>8012601.0:SNOP VILLEPINTE - 1220.0x480.0x1.2</t>
        </is>
      </c>
      <c r="E216" s="96" t="n">
        <v>0.02</v>
      </c>
      <c r="F216" s="96" t="n">
        <v>1.08</v>
      </c>
      <c r="G216" s="97" t="n">
        <v>6.78</v>
      </c>
    </row>
    <row r="217">
      <c r="C217" s="100" t="n"/>
      <c r="D217" s="96" t="inlineStr">
        <is>
          <t>8012610.0:SNOP VILLEPINTE - 1205.0x550.0x0.8</t>
        </is>
      </c>
      <c r="E217" s="96" t="n">
        <v>0.23</v>
      </c>
      <c r="F217" s="96" t="n">
        <v>8</v>
      </c>
      <c r="G217" s="97" t="n">
        <v>4.7</v>
      </c>
    </row>
    <row r="218">
      <c r="C218" s="100" t="n"/>
      <c r="D218" s="96" t="inlineStr">
        <is>
          <t>8012609.0:SNOP VILLEPINTE - 1220.0x605.0x0.8</t>
        </is>
      </c>
      <c r="E218" s="96" t="n">
        <v>0.05</v>
      </c>
      <c r="F218" s="96" t="n">
        <v>2.2</v>
      </c>
      <c r="G218" s="97" t="n">
        <v>6.28</v>
      </c>
    </row>
    <row r="219">
      <c r="C219" s="100" t="n"/>
      <c r="D219" s="96" t="inlineStr">
        <is>
          <t>8012608.0:SNOP VILLEPINTE - 1700.0x490.0x0.8</t>
        </is>
      </c>
      <c r="E219" s="96" t="n">
        <v>0.17</v>
      </c>
      <c r="F219" s="96" t="n">
        <v>10</v>
      </c>
      <c r="G219" s="97" t="n">
        <v>7.67</v>
      </c>
    </row>
    <row r="220">
      <c r="C220" s="100" t="n"/>
      <c r="D220" s="96" t="inlineStr">
        <is>
          <t>8012605.0:SNOP VILLEPINTE - 530.0x650.0x2.5</t>
        </is>
      </c>
      <c r="E220" s="96" t="n">
        <v>0.08</v>
      </c>
      <c r="F220" s="96" t="n">
        <v>3.638</v>
      </c>
      <c r="G220" s="97" t="n">
        <v>6.29</v>
      </c>
    </row>
    <row r="221">
      <c r="C221" s="100" t="n"/>
      <c r="D221" s="96" t="inlineStr">
        <is>
          <t>8012603.0:SNOP VILLEPINTE - 465.0x725.0x1.7</t>
        </is>
      </c>
      <c r="E221" s="96" t="n">
        <v>0.06</v>
      </c>
      <c r="F221" s="96" t="n">
        <v>2.42</v>
      </c>
      <c r="G221" s="97" t="n">
        <v>5.58</v>
      </c>
    </row>
    <row r="222">
      <c r="C222" s="100" t="n"/>
      <c r="D222" s="96" t="inlineStr">
        <is>
          <t>8012606.0:SNOP VILLEPINTE - 400.0x550.0x1.5</t>
        </is>
      </c>
      <c r="E222" s="96" t="n">
        <v>0.02</v>
      </c>
      <c r="F222" s="96" t="n">
        <v>0.8159999999999999</v>
      </c>
      <c r="G222" s="97" t="n">
        <v>5.48</v>
      </c>
    </row>
    <row r="223">
      <c r="C223" s="100" t="n"/>
      <c r="D223" s="96" t="inlineStr">
        <is>
          <t>8012572.0:GESTAMP NOURY S.A. - 1850.0x255.0x1.4</t>
        </is>
      </c>
      <c r="E223" s="96" t="n">
        <v>0.05</v>
      </c>
      <c r="F223" s="96" t="n">
        <v>2.0772</v>
      </c>
      <c r="G223" s="97" t="n">
        <v>5.31</v>
      </c>
    </row>
    <row r="224">
      <c r="C224" s="100" t="n"/>
      <c r="D224" s="96" t="inlineStr">
        <is>
          <t>8012560.0:SOFEDIT GOUZEAUCOURT - 1920.0x1825.0x0.8</t>
        </is>
      </c>
      <c r="E224" s="96" t="n">
        <v>0.49</v>
      </c>
      <c r="F224" s="96" t="n">
        <v>24.71168</v>
      </c>
      <c r="G224" s="97" t="n">
        <v>6.67</v>
      </c>
    </row>
    <row r="225">
      <c r="C225" s="100" t="n"/>
      <c r="D225" s="96" t="inlineStr">
        <is>
          <t>8018131.0:BENTELER CR s.r.o. CHRASTAVA - 796.0x235.0x1.4</t>
        </is>
      </c>
      <c r="E225" s="96" t="n">
        <v>0.84</v>
      </c>
      <c r="F225" s="96" t="n">
        <v>8.084</v>
      </c>
      <c r="G225" s="97" t="n">
        <v>1.29</v>
      </c>
    </row>
    <row r="226">
      <c r="C226" s="100" t="n"/>
      <c r="D226" s="101" t="inlineStr">
        <is>
          <t>8032513.0:GEDIA POLAND SP Z.O.O - 692.0x262.0x1.5</t>
        </is>
      </c>
      <c r="E226" s="101" t="n">
        <v>0.03</v>
      </c>
      <c r="F226" s="101" t="n">
        <v>0.28</v>
      </c>
      <c r="G226" s="102" t="n">
        <v>1.41</v>
      </c>
    </row>
    <row r="227">
      <c r="C227" s="100" t="n"/>
      <c r="D227" s="96" t="inlineStr">
        <is>
          <t>8032518.0:GEDIA POLAND SP Z.O.O - 1024.0x650.0x1.0</t>
        </is>
      </c>
      <c r="E227" s="96" t="n">
        <v>0.28</v>
      </c>
      <c r="F227" s="96" t="n">
        <v>13.2</v>
      </c>
      <c r="G227" s="97" t="n">
        <v>6.24</v>
      </c>
    </row>
    <row r="228">
      <c r="C228" s="100" t="n"/>
      <c r="D228" s="98" t="inlineStr">
        <is>
          <t>8032595.0:GEDIA POLAND SP Z.O.O - 1861.0x273.0x1.2</t>
        </is>
      </c>
      <c r="E228" s="98" t="n">
        <v>1.2</v>
      </c>
      <c r="F228" s="98" t="n">
        <v>72</v>
      </c>
      <c r="G228" s="99" t="n">
        <v>7.99</v>
      </c>
    </row>
    <row r="229">
      <c r="C229" s="100" t="n"/>
      <c r="D229" s="96" t="inlineStr">
        <is>
          <t>8055824.0:MARTINREA BERGNEUSTADT GmbH - 2077.0x367.0x2.0</t>
        </is>
      </c>
      <c r="E229" s="96" t="n">
        <v>0.26</v>
      </c>
      <c r="F229" s="96" t="n">
        <v>23.958</v>
      </c>
      <c r="G229" s="97" t="n">
        <v>12.21</v>
      </c>
    </row>
    <row r="230">
      <c r="C230" s="100" t="n"/>
      <c r="D230" s="96" t="inlineStr">
        <is>
          <t>8029395.0:SAREL APPAREILLAGE ELECTRIQUE - 1439.0x1239.0x1.15</t>
        </is>
      </c>
      <c r="E230" s="96" t="n">
        <v>0.02</v>
      </c>
      <c r="F230" s="96" t="n">
        <v>0.997</v>
      </c>
      <c r="G230" s="97" t="n">
        <v>6</v>
      </c>
    </row>
    <row r="231">
      <c r="C231" s="100" t="n"/>
      <c r="D231" s="96" t="inlineStr">
        <is>
          <t>8050961.0:SAREL APPAREILLAGE ELECTRIQUE - 1932.0x1197.0x2.5</t>
        </is>
      </c>
      <c r="E231" s="96" t="n">
        <v>0.52</v>
      </c>
      <c r="F231" s="96" t="n">
        <v>25</v>
      </c>
      <c r="G231" s="97" t="n">
        <v>6.43</v>
      </c>
    </row>
    <row r="232">
      <c r="C232" s="100" t="n"/>
      <c r="D232" s="96" t="inlineStr">
        <is>
          <t>8029401.0:SAREL APPAREILLAGE ELECTRIQUE - 1638.0x1438.0x1.45</t>
        </is>
      </c>
      <c r="E232" s="96" t="n">
        <v>0.05</v>
      </c>
      <c r="F232" s="96" t="n">
        <v>0.491</v>
      </c>
      <c r="G232" s="97" t="n">
        <v>1.28</v>
      </c>
    </row>
    <row r="233">
      <c r="C233" s="100" t="n"/>
      <c r="D233" s="96" t="inlineStr">
        <is>
          <t>8029403.0:SAREL APPAREILLAGE ELECTRIQUE - 1838.0x1638.0x1.45</t>
        </is>
      </c>
      <c r="E233" s="96" t="n">
        <v>0.01</v>
      </c>
      <c r="F233" s="96" t="n">
        <v>1.476</v>
      </c>
      <c r="G233" s="97" t="n">
        <v>27.68</v>
      </c>
    </row>
    <row r="234">
      <c r="C234" s="100" t="n"/>
      <c r="D234" s="96" t="inlineStr">
        <is>
          <t>8029402.0:SAREL APPAREILLAGE ELECTRIQUE - 1638.0x1638.0x1.45</t>
        </is>
      </c>
      <c r="E234" s="96" t="n">
        <v>0.01</v>
      </c>
      <c r="F234" s="96" t="n">
        <v>0.991</v>
      </c>
      <c r="G234" s="97" t="n">
        <v>12.78</v>
      </c>
    </row>
    <row r="235">
      <c r="C235" s="100" t="n"/>
      <c r="D235" s="96" t="inlineStr">
        <is>
          <t>8029399.0:SAREL APPAREILLAGE ELECTRIQUE - 2038.0x1838.0x1.45</t>
        </is>
      </c>
      <c r="E235" s="96" t="n">
        <v>0</v>
      </c>
      <c r="F235" s="96" t="n">
        <v>1.008</v>
      </c>
      <c r="G235" s="97" t="n">
        <v>106.63</v>
      </c>
    </row>
    <row r="236">
      <c r="C236" s="100" t="n"/>
      <c r="D236" s="96" t="inlineStr">
        <is>
          <t>8029400.0:SAREL APPAREILLAGE ELECTRIQUE - 1838.0x1838.0x1.45</t>
        </is>
      </c>
      <c r="E236" s="96" t="n">
        <v>0</v>
      </c>
      <c r="F236" s="96" t="n">
        <v>1.002</v>
      </c>
      <c r="G236" s="97" t="n">
        <v>69.94</v>
      </c>
    </row>
    <row r="237">
      <c r="C237" s="100" t="n"/>
      <c r="D237" s="96" t="inlineStr">
        <is>
          <t>8029412.0:SAREL APPAREILLAGE ELECTRIQUE - 1539.0x1339.0x1.15</t>
        </is>
      </c>
      <c r="E237" s="96" t="n">
        <v>0.01</v>
      </c>
      <c r="F237" s="96" t="n">
        <v>0.494</v>
      </c>
      <c r="G237" s="97" t="n">
        <v>11.59</v>
      </c>
    </row>
    <row r="238">
      <c r="C238" s="100" t="n"/>
      <c r="D238" s="96" t="inlineStr">
        <is>
          <t>8029409.0:SAREL APPAREILLAGE ELECTRIQUE - 1339.0x1339.0x1.15</t>
        </is>
      </c>
      <c r="E238" s="96" t="n">
        <v>0.02</v>
      </c>
      <c r="F238" s="96" t="n">
        <v>0.496</v>
      </c>
      <c r="G238" s="97" t="n">
        <v>3.9</v>
      </c>
    </row>
    <row r="239">
      <c r="C239" s="100" t="n"/>
      <c r="D239" s="96" t="inlineStr">
        <is>
          <t>8029392.0:SAREL APPAREILLAGE ELECTRIQUE - 2500.0x1650.0x2.0</t>
        </is>
      </c>
      <c r="E239" s="96" t="n">
        <v>0.06</v>
      </c>
      <c r="F239" s="96" t="n">
        <v>1.953</v>
      </c>
      <c r="G239" s="97" t="n">
        <v>4.37</v>
      </c>
    </row>
    <row r="240">
      <c r="C240" s="100" t="n"/>
      <c r="D240" s="96" t="inlineStr">
        <is>
          <t>8029405.0:SAREL APPAREILLAGE ELECTRIQUE - 1838.0x1438.0x1.45</t>
        </is>
      </c>
      <c r="E240" s="96" t="n">
        <v>0.03</v>
      </c>
      <c r="F240" s="96" t="n">
        <v>1.484</v>
      </c>
      <c r="G240" s="97" t="n">
        <v>6.28</v>
      </c>
    </row>
    <row r="241">
      <c r="C241" s="100" t="n"/>
      <c r="D241" s="96" t="inlineStr">
        <is>
          <t>8029406.0:SAREL APPAREILLAGE ELECTRIQUE - 1439.0x1439.0x1.15</t>
        </is>
      </c>
      <c r="E241" s="96" t="n">
        <v>0.03</v>
      </c>
      <c r="F241" s="96" t="n">
        <v>1.011</v>
      </c>
      <c r="G241" s="97" t="n">
        <v>4.44</v>
      </c>
    </row>
    <row r="242">
      <c r="C242" s="100" t="n"/>
      <c r="D242" s="96" t="inlineStr">
        <is>
          <t>8050960.0:SAREL APPAREILLAGE ELECTRIQUE - 1732.0x1197.0x2.5</t>
        </is>
      </c>
      <c r="E242" s="96" t="n">
        <v>0.15</v>
      </c>
      <c r="F242" s="96" t="n">
        <v>8</v>
      </c>
      <c r="G242" s="97" t="n">
        <v>7.29</v>
      </c>
    </row>
    <row r="243">
      <c r="C243" s="100" t="n"/>
      <c r="D243" s="96" t="inlineStr">
        <is>
          <t>8050962.0:SAREL APPAREILLAGE ELECTRIQUE - 2132.0x1197.0x2.5</t>
        </is>
      </c>
      <c r="E243" s="96" t="n">
        <v>0.16</v>
      </c>
      <c r="F243" s="96" t="n">
        <v>2</v>
      </c>
      <c r="G243" s="97" t="n">
        <v>1.72</v>
      </c>
    </row>
    <row r="244">
      <c r="C244" s="100" t="n"/>
      <c r="D244" s="96" t="inlineStr">
        <is>
          <t>8058505.0:SAREL APPAREILLAGE ELECTRIQUE - 2007.0x1221.5x1.45</t>
        </is>
      </c>
      <c r="E244" s="96" t="n">
        <v>0.02</v>
      </c>
      <c r="F244" s="96" t="n">
        <v>1.114</v>
      </c>
      <c r="G244" s="97" t="n">
        <v>6.38</v>
      </c>
    </row>
    <row r="245">
      <c r="C245" s="100" t="n"/>
      <c r="D245" s="96" t="inlineStr">
        <is>
          <t>8029408.0:SAREL APPAREILLAGE ELECTRIQUE - 2000.0x1000.0x2.5</t>
        </is>
      </c>
      <c r="E245" s="96" t="n">
        <v>0.03</v>
      </c>
      <c r="F245" s="96" t="n">
        <v>0.992</v>
      </c>
      <c r="G245" s="97" t="n">
        <v>3.94</v>
      </c>
    </row>
    <row r="246">
      <c r="C246" s="100" t="n"/>
      <c r="D246" s="96" t="inlineStr">
        <is>
          <t>8029396.0:SAREL APPAREILLAGE ELECTRIQUE - 1838.0x1238.0x1.45</t>
        </is>
      </c>
      <c r="E246" s="96" t="n">
        <v>0.01</v>
      </c>
      <c r="F246" s="96" t="n">
        <v>0.496</v>
      </c>
      <c r="G246" s="97" t="n">
        <v>4.56</v>
      </c>
    </row>
    <row r="247">
      <c r="C247" s="100" t="n"/>
      <c r="D247" s="96" t="inlineStr">
        <is>
          <t>8046189.0:SAREL APPAREILLAGE ELECTRIQUE - 2500.0x1250.0x1.5</t>
        </is>
      </c>
      <c r="E247" s="96" t="n">
        <v>0.11</v>
      </c>
      <c r="F247" s="96" t="n">
        <v>5</v>
      </c>
      <c r="G247" s="97" t="n">
        <v>5.96</v>
      </c>
    </row>
    <row r="248">
      <c r="C248" s="100" t="n"/>
      <c r="D248" s="96" t="inlineStr">
        <is>
          <t>8040538.0:SAREL APPAREILLAGE ELECTRIQUE - 1732.0x997.0x2.5</t>
        </is>
      </c>
      <c r="E248" s="96" t="n">
        <v>0.17</v>
      </c>
      <c r="F248" s="96" t="n">
        <v>7.5</v>
      </c>
      <c r="G248" s="97" t="n">
        <v>5.79</v>
      </c>
    </row>
    <row r="249">
      <c r="C249" s="100" t="n"/>
      <c r="D249" s="96" t="inlineStr">
        <is>
          <t>8040787.0:SAREL APPAREILLAGE ELECTRIQUE - 1932.0x997.0x2.5</t>
        </is>
      </c>
      <c r="E249" s="96" t="n">
        <v>0.58</v>
      </c>
      <c r="F249" s="96" t="n">
        <v>15</v>
      </c>
      <c r="G249" s="97" t="n">
        <v>3.46</v>
      </c>
    </row>
    <row r="250">
      <c r="C250" s="100" t="n"/>
      <c r="D250" s="96" t="inlineStr">
        <is>
          <t>8040788.0:SAREL APPAREILLAGE ELECTRIQUE - 2132.0x997.0x2.5</t>
        </is>
      </c>
      <c r="E250" s="96" t="n">
        <v>0.02</v>
      </c>
      <c r="F250" s="96" t="n">
        <v>2.5</v>
      </c>
      <c r="G250" s="97" t="n">
        <v>15.44</v>
      </c>
    </row>
    <row r="251">
      <c r="C251" s="103" t="n"/>
      <c r="D251" s="104" t="inlineStr">
        <is>
          <t>8029398.0:SAREL APPAREILLAGE ELECTRIQUE - 2500.0x1250.0x1.0</t>
        </is>
      </c>
      <c r="E251" s="104" t="n">
        <v>0.01</v>
      </c>
      <c r="F251" s="104" t="n">
        <v>0.981</v>
      </c>
      <c r="G251" s="105" t="n">
        <v>12.08</v>
      </c>
    </row>
    <row r="255">
      <c r="C255" s="92" t="inlineStr">
        <is>
          <t>Details for : L1 serie - Postes Forecast W7</t>
        </is>
      </c>
      <c r="D255" s="93" t="inlineStr">
        <is>
          <t>Article : Client - Length x Width x Thickness</t>
        </is>
      </c>
      <c r="E255" s="93" t="inlineStr">
        <is>
          <t>Postes</t>
        </is>
      </c>
      <c r="F255" s="93" t="inlineStr">
        <is>
          <t>Tonnes</t>
        </is>
      </c>
      <c r="G255" s="94" t="inlineStr">
        <is>
          <t>Productivity</t>
        </is>
      </c>
    </row>
    <row r="256">
      <c r="C256" s="95" t="inlineStr">
        <is>
          <t>Sum Tonnes : 172.08</t>
        </is>
      </c>
      <c r="D256" s="96" t="inlineStr">
        <is>
          <t>8012581.0:SNOP VILLEPINTE - 430.0x1000.0x0.75</t>
        </is>
      </c>
      <c r="E256" s="96" t="n">
        <v>0.04</v>
      </c>
      <c r="F256" s="96" t="n">
        <v>1</v>
      </c>
      <c r="G256" s="97" t="n">
        <v>3.21</v>
      </c>
    </row>
    <row r="257">
      <c r="C257" s="95" t="inlineStr">
        <is>
          <t>Sum Postes : 3.36</t>
        </is>
      </c>
      <c r="D257" s="96" t="inlineStr">
        <is>
          <t>8012591.0:GEDIA POLAND SP Z.O.O - 2210.0x551.0x2.4</t>
        </is>
      </c>
      <c r="E257" s="96" t="n">
        <v>0.53</v>
      </c>
      <c r="F257" s="96" t="n">
        <v>30</v>
      </c>
      <c r="G257" s="97" t="n">
        <v>7.61</v>
      </c>
    </row>
    <row r="258">
      <c r="C258" s="95" t="inlineStr">
        <is>
          <t>Average Productivity : 11.94</t>
        </is>
      </c>
      <c r="D258" s="96" t="inlineStr">
        <is>
          <t>8012607.0:SNOP VILLEPINTE - 1268.0x490.0x0.8</t>
        </is>
      </c>
      <c r="E258" s="96" t="n">
        <v>0.04</v>
      </c>
      <c r="F258" s="96" t="n">
        <v>2</v>
      </c>
      <c r="G258" s="97" t="n">
        <v>6.5</v>
      </c>
    </row>
    <row r="259">
      <c r="C259" s="100" t="n"/>
      <c r="D259" s="96" t="inlineStr">
        <is>
          <t>8012601.0:SNOP VILLEPINTE - 1220.0x480.0x1.2</t>
        </is>
      </c>
      <c r="E259" s="96" t="n">
        <v>0.02</v>
      </c>
      <c r="F259" s="96" t="n">
        <v>1.08</v>
      </c>
      <c r="G259" s="97" t="n">
        <v>6.78</v>
      </c>
    </row>
    <row r="260">
      <c r="C260" s="100" t="n"/>
      <c r="D260" s="96" t="inlineStr">
        <is>
          <t>8012609.0:SNOP VILLEPINTE - 1220.0x605.0x0.8</t>
        </is>
      </c>
      <c r="E260" s="96" t="n">
        <v>0.05</v>
      </c>
      <c r="F260" s="96" t="n">
        <v>2.2</v>
      </c>
      <c r="G260" s="97" t="n">
        <v>6.28</v>
      </c>
    </row>
    <row r="261">
      <c r="C261" s="100" t="n"/>
      <c r="D261" s="96" t="inlineStr">
        <is>
          <t>8012605.0:SNOP VILLEPINTE - 530.0x650.0x2.5</t>
        </is>
      </c>
      <c r="E261" s="96" t="n">
        <v>0.08</v>
      </c>
      <c r="F261" s="96" t="n">
        <v>3.638</v>
      </c>
      <c r="G261" s="97" t="n">
        <v>6.29</v>
      </c>
    </row>
    <row r="262">
      <c r="C262" s="100" t="n"/>
      <c r="D262" s="96" t="inlineStr">
        <is>
          <t>8012603.0:SNOP VILLEPINTE - 465.0x725.0x1.7</t>
        </is>
      </c>
      <c r="E262" s="96" t="n">
        <v>0.06</v>
      </c>
      <c r="F262" s="96" t="n">
        <v>2.42</v>
      </c>
      <c r="G262" s="97" t="n">
        <v>5.58</v>
      </c>
    </row>
    <row r="263">
      <c r="C263" s="100" t="n"/>
      <c r="D263" s="96" t="inlineStr">
        <is>
          <t>8012606.0:SNOP VILLEPINTE - 400.0x550.0x1.5</t>
        </is>
      </c>
      <c r="E263" s="96" t="n">
        <v>0.02</v>
      </c>
      <c r="F263" s="96" t="n">
        <v>0.8159999999999999</v>
      </c>
      <c r="G263" s="97" t="n">
        <v>5.48</v>
      </c>
    </row>
    <row r="264">
      <c r="C264" s="100" t="n"/>
      <c r="D264" s="96" t="inlineStr">
        <is>
          <t>8012572.0:GESTAMP NOURY S.A. - 1850.0x255.0x1.4</t>
        </is>
      </c>
      <c r="E264" s="96" t="n">
        <v>0.05</v>
      </c>
      <c r="F264" s="96" t="n">
        <v>2.0772</v>
      </c>
      <c r="G264" s="97" t="n">
        <v>5.31</v>
      </c>
    </row>
    <row r="265">
      <c r="C265" s="100" t="n"/>
      <c r="D265" s="101" t="inlineStr">
        <is>
          <t>8032513.0:GEDIA POLAND SP Z.O.O - 692.0x262.0x1.5</t>
        </is>
      </c>
      <c r="E265" s="101" t="n">
        <v>0.03</v>
      </c>
      <c r="F265" s="101" t="n">
        <v>0.29</v>
      </c>
      <c r="G265" s="102" t="n">
        <v>1.41</v>
      </c>
    </row>
    <row r="266">
      <c r="C266" s="100" t="n"/>
      <c r="D266" s="96" t="inlineStr">
        <is>
          <t>8057994.0:RENAULT SAS - 790.0x210.0x2.0</t>
        </is>
      </c>
      <c r="E266" s="96" t="n">
        <v>0.5</v>
      </c>
      <c r="F266" s="96" t="n">
        <v>18.55</v>
      </c>
      <c r="G266" s="97" t="n">
        <v>4.91</v>
      </c>
    </row>
    <row r="267">
      <c r="C267" s="100" t="n"/>
      <c r="D267" s="98" t="inlineStr">
        <is>
          <t>8055824.0:MARTINREA BERGNEUSTADT GmbH - 2077.0x367.0x2.0</t>
        </is>
      </c>
      <c r="E267" s="98" t="n">
        <v>0.52</v>
      </c>
      <c r="F267" s="98" t="n">
        <v>47.916</v>
      </c>
      <c r="G267" s="99" t="n">
        <v>12.21</v>
      </c>
    </row>
    <row r="268">
      <c r="C268" s="100" t="n"/>
      <c r="D268" s="96" t="inlineStr">
        <is>
          <t>8029395.0:SAREL APPAREILLAGE ELECTRIQUE - 1439.0x1239.0x1.15</t>
        </is>
      </c>
      <c r="E268" s="96" t="n">
        <v>0.02</v>
      </c>
      <c r="F268" s="96" t="n">
        <v>0.997</v>
      </c>
      <c r="G268" s="97" t="n">
        <v>6</v>
      </c>
    </row>
    <row r="269">
      <c r="C269" s="100" t="n"/>
      <c r="D269" s="96" t="inlineStr">
        <is>
          <t>8029401.0:SAREL APPAREILLAGE ELECTRIQUE - 1638.0x1438.0x1.45</t>
        </is>
      </c>
      <c r="E269" s="96" t="n">
        <v>0.05</v>
      </c>
      <c r="F269" s="96" t="n">
        <v>0.491</v>
      </c>
      <c r="G269" s="97" t="n">
        <v>1.28</v>
      </c>
    </row>
    <row r="270">
      <c r="C270" s="100" t="n"/>
      <c r="D270" s="96" t="inlineStr">
        <is>
          <t>8029403.0:SAREL APPAREILLAGE ELECTRIQUE - 1838.0x1638.0x1.45</t>
        </is>
      </c>
      <c r="E270" s="96" t="n">
        <v>0.01</v>
      </c>
      <c r="F270" s="96" t="n">
        <v>1.476</v>
      </c>
      <c r="G270" s="97" t="n">
        <v>27.68</v>
      </c>
    </row>
    <row r="271">
      <c r="C271" s="100" t="n"/>
      <c r="D271" s="96" t="inlineStr">
        <is>
          <t>8029402.0:SAREL APPAREILLAGE ELECTRIQUE - 1638.0x1638.0x1.45</t>
        </is>
      </c>
      <c r="E271" s="96" t="n">
        <v>0.01</v>
      </c>
      <c r="F271" s="96" t="n">
        <v>0.991</v>
      </c>
      <c r="G271" s="97" t="n">
        <v>12.78</v>
      </c>
    </row>
    <row r="272">
      <c r="C272" s="100" t="n"/>
      <c r="D272" s="96" t="inlineStr">
        <is>
          <t>8029399.0:SAREL APPAREILLAGE ELECTRIQUE - 2038.0x1838.0x1.45</t>
        </is>
      </c>
      <c r="E272" s="96" t="n">
        <v>0</v>
      </c>
      <c r="F272" s="96" t="n">
        <v>1.008</v>
      </c>
      <c r="G272" s="97" t="n">
        <v>106.63</v>
      </c>
    </row>
    <row r="273">
      <c r="C273" s="100" t="n"/>
      <c r="D273" s="96" t="inlineStr">
        <is>
          <t>8029400.0:SAREL APPAREILLAGE ELECTRIQUE - 1838.0x1838.0x1.45</t>
        </is>
      </c>
      <c r="E273" s="96" t="n">
        <v>0</v>
      </c>
      <c r="F273" s="96" t="n">
        <v>1.002</v>
      </c>
      <c r="G273" s="97" t="n">
        <v>69.94</v>
      </c>
    </row>
    <row r="274">
      <c r="C274" s="100" t="n"/>
      <c r="D274" s="96" t="inlineStr">
        <is>
          <t>8029412.0:SAREL APPAREILLAGE ELECTRIQUE - 1539.0x1339.0x1.15</t>
        </is>
      </c>
      <c r="E274" s="96" t="n">
        <v>0.01</v>
      </c>
      <c r="F274" s="96" t="n">
        <v>0.494</v>
      </c>
      <c r="G274" s="97" t="n">
        <v>11.59</v>
      </c>
    </row>
    <row r="275">
      <c r="C275" s="100" t="n"/>
      <c r="D275" s="96" t="inlineStr">
        <is>
          <t>8029409.0:SAREL APPAREILLAGE ELECTRIQUE - 1339.0x1339.0x1.15</t>
        </is>
      </c>
      <c r="E275" s="96" t="n">
        <v>0.02</v>
      </c>
      <c r="F275" s="96" t="n">
        <v>0.496</v>
      </c>
      <c r="G275" s="97" t="n">
        <v>3.9</v>
      </c>
    </row>
    <row r="276">
      <c r="C276" s="100" t="n"/>
      <c r="D276" s="96" t="inlineStr">
        <is>
          <t>8029392.0:SAREL APPAREILLAGE ELECTRIQUE - 2500.0x1650.0x2.0</t>
        </is>
      </c>
      <c r="E276" s="96" t="n">
        <v>0.06</v>
      </c>
      <c r="F276" s="96" t="n">
        <v>1.953</v>
      </c>
      <c r="G276" s="97" t="n">
        <v>4.37</v>
      </c>
    </row>
    <row r="277">
      <c r="C277" s="100" t="n"/>
      <c r="D277" s="96" t="inlineStr">
        <is>
          <t>8029405.0:SAREL APPAREILLAGE ELECTRIQUE - 1838.0x1438.0x1.45</t>
        </is>
      </c>
      <c r="E277" s="96" t="n">
        <v>0.03</v>
      </c>
      <c r="F277" s="96" t="n">
        <v>1.484</v>
      </c>
      <c r="G277" s="97" t="n">
        <v>6.28</v>
      </c>
    </row>
    <row r="278">
      <c r="C278" s="100" t="n"/>
      <c r="D278" s="96" t="inlineStr">
        <is>
          <t>8029406.0:SAREL APPAREILLAGE ELECTRIQUE - 1439.0x1439.0x1.15</t>
        </is>
      </c>
      <c r="E278" s="96" t="n">
        <v>0.03</v>
      </c>
      <c r="F278" s="96" t="n">
        <v>1.011</v>
      </c>
      <c r="G278" s="97" t="n">
        <v>4.44</v>
      </c>
    </row>
    <row r="279">
      <c r="C279" s="100" t="n"/>
      <c r="D279" s="96" t="inlineStr">
        <is>
          <t>8058505.0:SAREL APPAREILLAGE ELECTRIQUE - 2007.0x1221.5x1.45</t>
        </is>
      </c>
      <c r="E279" s="96" t="n">
        <v>0.02</v>
      </c>
      <c r="F279" s="96" t="n">
        <v>1.114</v>
      </c>
      <c r="G279" s="97" t="n">
        <v>6.38</v>
      </c>
    </row>
    <row r="280">
      <c r="C280" s="100" t="n"/>
      <c r="D280" s="96" t="inlineStr">
        <is>
          <t>8029408.0:SAREL APPAREILLAGE ELECTRIQUE - 2000.0x1000.0x2.5</t>
        </is>
      </c>
      <c r="E280" s="96" t="n">
        <v>0.03</v>
      </c>
      <c r="F280" s="96" t="n">
        <v>0.992</v>
      </c>
      <c r="G280" s="97" t="n">
        <v>3.94</v>
      </c>
    </row>
    <row r="281">
      <c r="C281" s="100" t="n"/>
      <c r="D281" s="96" t="inlineStr">
        <is>
          <t>8029396.0:SAREL APPAREILLAGE ELECTRIQUE - 1838.0x1238.0x1.45</t>
        </is>
      </c>
      <c r="E281" s="96" t="n">
        <v>0.01</v>
      </c>
      <c r="F281" s="96" t="n">
        <v>0.496</v>
      </c>
      <c r="G281" s="97" t="n">
        <v>4.56</v>
      </c>
    </row>
    <row r="282">
      <c r="C282" s="100" t="n"/>
      <c r="D282" s="96" t="inlineStr">
        <is>
          <t>8039307.0:OTIS SCS - 3300.0x550.0x3.0</t>
        </is>
      </c>
      <c r="E282" s="96" t="n">
        <v>0.16</v>
      </c>
      <c r="F282" s="96" t="n">
        <v>6.8768</v>
      </c>
      <c r="G282" s="97" t="n">
        <v>5.74</v>
      </c>
    </row>
    <row r="283">
      <c r="C283" s="100" t="n"/>
      <c r="D283" s="96" t="inlineStr">
        <is>
          <t>8039030.0:OTIS SCS - 3410.0x1370.0x2.5</t>
        </is>
      </c>
      <c r="E283" s="96" t="n">
        <v>0.26</v>
      </c>
      <c r="F283" s="96" t="n">
        <v>11.94245</v>
      </c>
      <c r="G283" s="97" t="n">
        <v>6.16</v>
      </c>
    </row>
    <row r="284">
      <c r="C284" s="100" t="n"/>
      <c r="D284" s="96" t="inlineStr">
        <is>
          <t>8040408.0:OTIS SCS - 3380.0x677.0x2.5</t>
        </is>
      </c>
      <c r="E284" s="96" t="n">
        <v>0.17</v>
      </c>
      <c r="F284" s="96" t="n">
        <v>5.40816</v>
      </c>
      <c r="G284" s="97" t="n">
        <v>4.21</v>
      </c>
    </row>
    <row r="285">
      <c r="C285" s="100" t="n"/>
      <c r="D285" s="96" t="inlineStr">
        <is>
          <t>8038432.0:OTIS SCS - 3000.0x1370.0x2.5</t>
        </is>
      </c>
      <c r="E285" s="96" t="n">
        <v>0.47</v>
      </c>
      <c r="F285" s="96" t="n">
        <v>20.2175</v>
      </c>
      <c r="G285" s="97" t="n">
        <v>5.71</v>
      </c>
    </row>
    <row r="286">
      <c r="C286" s="100" t="n"/>
      <c r="D286" s="96" t="inlineStr">
        <is>
          <t>8029398.0:SAREL APPAREILLAGE ELECTRIQUE - 2500.0x1250.0x1.0</t>
        </is>
      </c>
      <c r="E286" s="96" t="n">
        <v>0.01</v>
      </c>
      <c r="F286" s="96" t="n">
        <v>0.981</v>
      </c>
      <c r="G286" s="97" t="n">
        <v>12.08</v>
      </c>
    </row>
    <row r="287">
      <c r="C287" s="103" t="n"/>
      <c r="D287" s="104" t="inlineStr">
        <is>
          <t>8030451.0:OTIS SCS - 1390.0x410.0x4.0</t>
        </is>
      </c>
      <c r="E287" s="104" t="n">
        <v>0.05</v>
      </c>
      <c r="F287" s="104" t="n">
        <v>0.6621899999999999</v>
      </c>
      <c r="G287" s="105" t="n">
        <v>1.8</v>
      </c>
    </row>
    <row r="291">
      <c r="C291" s="92" t="inlineStr">
        <is>
          <t>Details for : L1 serie - Postes Forecast W8</t>
        </is>
      </c>
      <c r="D291" s="93" t="inlineStr">
        <is>
          <t>Article : Client - Length x Width x Thickness</t>
        </is>
      </c>
      <c r="E291" s="93" t="inlineStr">
        <is>
          <t>Postes</t>
        </is>
      </c>
      <c r="F291" s="93" t="inlineStr">
        <is>
          <t>Tonnes</t>
        </is>
      </c>
      <c r="G291" s="94" t="inlineStr">
        <is>
          <t>Productivity</t>
        </is>
      </c>
    </row>
    <row r="292">
      <c r="C292" s="95" t="inlineStr">
        <is>
          <t>Sum Tonnes : 254.3</t>
        </is>
      </c>
      <c r="D292" s="96" t="inlineStr">
        <is>
          <t>8029212.0:BONGARD SAS - 2000.0x1500.0x1.5</t>
        </is>
      </c>
      <c r="E292" s="96" t="n">
        <v>0.03</v>
      </c>
      <c r="F292" s="96" t="n">
        <v>2.091</v>
      </c>
      <c r="G292" s="97" t="n">
        <v>8.82</v>
      </c>
    </row>
    <row r="293">
      <c r="C293" s="95" t="inlineStr">
        <is>
          <t>Sum Postes : 3.61</t>
        </is>
      </c>
      <c r="D293" s="96" t="inlineStr">
        <is>
          <t>8012581.0:SNOP VILLEPINTE - 430.0x1000.0x0.75</t>
        </is>
      </c>
      <c r="E293" s="96" t="n">
        <v>0.04</v>
      </c>
      <c r="F293" s="96" t="n">
        <v>1</v>
      </c>
      <c r="G293" s="97" t="n">
        <v>3.21</v>
      </c>
    </row>
    <row r="294">
      <c r="C294" s="95" t="inlineStr">
        <is>
          <t>Average Productivity : 11.94</t>
        </is>
      </c>
      <c r="D294" s="96" t="inlineStr">
        <is>
          <t>8012561.0:BENTELER AUTOMOBILTECHNIK GMBH - 2240.0x1500.0x1.8</t>
        </is>
      </c>
      <c r="E294" s="96" t="n">
        <v>0.52</v>
      </c>
      <c r="F294" s="96" t="n">
        <v>24</v>
      </c>
      <c r="G294" s="97" t="n">
        <v>6.14</v>
      </c>
    </row>
    <row r="295">
      <c r="C295" s="100" t="n"/>
      <c r="D295" s="96" t="inlineStr">
        <is>
          <t>8012591.0:GEDIA POLAND SP Z.O.O - 2210.0x551.0x2.4</t>
        </is>
      </c>
      <c r="E295" s="96" t="n">
        <v>0.53</v>
      </c>
      <c r="F295" s="96" t="n">
        <v>30</v>
      </c>
      <c r="G295" s="97" t="n">
        <v>7.61</v>
      </c>
    </row>
    <row r="296">
      <c r="C296" s="100" t="n"/>
      <c r="D296" s="96" t="inlineStr">
        <is>
          <t>8012607.0:SNOP VILLEPINTE - 1268.0x490.0x0.8</t>
        </is>
      </c>
      <c r="E296" s="96" t="n">
        <v>0.04</v>
      </c>
      <c r="F296" s="96" t="n">
        <v>2</v>
      </c>
      <c r="G296" s="97" t="n">
        <v>6.5</v>
      </c>
    </row>
    <row r="297">
      <c r="C297" s="100" t="n"/>
      <c r="D297" s="96" t="inlineStr">
        <is>
          <t>8012601.0:SNOP VILLEPINTE - 1220.0x480.0x1.2</t>
        </is>
      </c>
      <c r="E297" s="96" t="n">
        <v>0.02</v>
      </c>
      <c r="F297" s="96" t="n">
        <v>1.08</v>
      </c>
      <c r="G297" s="97" t="n">
        <v>6.78</v>
      </c>
    </row>
    <row r="298">
      <c r="C298" s="100" t="n"/>
      <c r="D298" s="96" t="inlineStr">
        <is>
          <t>8012609.0:SNOP VILLEPINTE - 1220.0x605.0x0.8</t>
        </is>
      </c>
      <c r="E298" s="96" t="n">
        <v>0.05</v>
      </c>
      <c r="F298" s="96" t="n">
        <v>2.2</v>
      </c>
      <c r="G298" s="97" t="n">
        <v>6.28</v>
      </c>
    </row>
    <row r="299">
      <c r="C299" s="100" t="n"/>
      <c r="D299" s="96" t="inlineStr">
        <is>
          <t>8012605.0:SNOP VILLEPINTE - 530.0x650.0x2.5</t>
        </is>
      </c>
      <c r="E299" s="96" t="n">
        <v>0.08</v>
      </c>
      <c r="F299" s="96" t="n">
        <v>3.638</v>
      </c>
      <c r="G299" s="97" t="n">
        <v>6.29</v>
      </c>
    </row>
    <row r="300">
      <c r="C300" s="100" t="n"/>
      <c r="D300" s="96" t="inlineStr">
        <is>
          <t>8012603.0:SNOP VILLEPINTE - 465.0x725.0x1.7</t>
        </is>
      </c>
      <c r="E300" s="96" t="n">
        <v>0.06</v>
      </c>
      <c r="F300" s="96" t="n">
        <v>2.42</v>
      </c>
      <c r="G300" s="97" t="n">
        <v>5.58</v>
      </c>
    </row>
    <row r="301">
      <c r="C301" s="100" t="n"/>
      <c r="D301" s="96" t="inlineStr">
        <is>
          <t>8012606.0:SNOP VILLEPINTE - 400.0x550.0x1.5</t>
        </is>
      </c>
      <c r="E301" s="96" t="n">
        <v>0.02</v>
      </c>
      <c r="F301" s="96" t="n">
        <v>0.8159999999999999</v>
      </c>
      <c r="G301" s="97" t="n">
        <v>5.48</v>
      </c>
    </row>
    <row r="302">
      <c r="C302" s="100" t="n"/>
      <c r="D302" s="96" t="inlineStr">
        <is>
          <t>8012572.0:GESTAMP NOURY S.A. - 1850.0x255.0x1.4</t>
        </is>
      </c>
      <c r="E302" s="96" t="n">
        <v>0.05</v>
      </c>
      <c r="F302" s="96" t="n">
        <v>2.0772</v>
      </c>
      <c r="G302" s="97" t="n">
        <v>5.31</v>
      </c>
    </row>
    <row r="303">
      <c r="C303" s="100" t="n"/>
      <c r="D303" s="101" t="inlineStr">
        <is>
          <t>8032513.0:GEDIA POLAND SP Z.O.O - 692.0x262.0x1.5</t>
        </is>
      </c>
      <c r="E303" s="101" t="n">
        <v>0.03</v>
      </c>
      <c r="F303" s="101" t="n">
        <v>0.29</v>
      </c>
      <c r="G303" s="102" t="n">
        <v>1.41</v>
      </c>
    </row>
    <row r="304">
      <c r="C304" s="100" t="n"/>
      <c r="D304" s="98" t="inlineStr">
        <is>
          <t>8055824.0:MARTINREA BERGNEUSTADT GmbH - 2077.0x367.0x2.0</t>
        </is>
      </c>
      <c r="E304" s="98" t="n">
        <v>1.83</v>
      </c>
      <c r="F304" s="98" t="n">
        <v>167.706</v>
      </c>
      <c r="G304" s="99" t="n">
        <v>12.21</v>
      </c>
    </row>
    <row r="305">
      <c r="C305" s="100" t="n"/>
      <c r="D305" s="96" t="inlineStr">
        <is>
          <t>8029395.0:SAREL APPAREILLAGE ELECTRIQUE - 1439.0x1239.0x1.15</t>
        </is>
      </c>
      <c r="E305" s="96" t="n">
        <v>0.02</v>
      </c>
      <c r="F305" s="96" t="n">
        <v>0.997</v>
      </c>
      <c r="G305" s="97" t="n">
        <v>6</v>
      </c>
    </row>
    <row r="306">
      <c r="C306" s="100" t="n"/>
      <c r="D306" s="96" t="inlineStr">
        <is>
          <t>8029401.0:SAREL APPAREILLAGE ELECTRIQUE - 1638.0x1438.0x1.45</t>
        </is>
      </c>
      <c r="E306" s="96" t="n">
        <v>0.05</v>
      </c>
      <c r="F306" s="96" t="n">
        <v>0.491</v>
      </c>
      <c r="G306" s="97" t="n">
        <v>1.28</v>
      </c>
    </row>
    <row r="307">
      <c r="C307" s="100" t="n"/>
      <c r="D307" s="96" t="inlineStr">
        <is>
          <t>8029403.0:SAREL APPAREILLAGE ELECTRIQUE - 1838.0x1638.0x1.45</t>
        </is>
      </c>
      <c r="E307" s="96" t="n">
        <v>0.01</v>
      </c>
      <c r="F307" s="96" t="n">
        <v>1.476</v>
      </c>
      <c r="G307" s="97" t="n">
        <v>27.68</v>
      </c>
    </row>
    <row r="308">
      <c r="C308" s="100" t="n"/>
      <c r="D308" s="96" t="inlineStr">
        <is>
          <t>8029402.0:SAREL APPAREILLAGE ELECTRIQUE - 1638.0x1638.0x1.45</t>
        </is>
      </c>
      <c r="E308" s="96" t="n">
        <v>0.01</v>
      </c>
      <c r="F308" s="96" t="n">
        <v>0.991</v>
      </c>
      <c r="G308" s="97" t="n">
        <v>12.78</v>
      </c>
    </row>
    <row r="309">
      <c r="C309" s="100" t="n"/>
      <c r="D309" s="96" t="inlineStr">
        <is>
          <t>8029399.0:SAREL APPAREILLAGE ELECTRIQUE - 2038.0x1838.0x1.45</t>
        </is>
      </c>
      <c r="E309" s="96" t="n">
        <v>0</v>
      </c>
      <c r="F309" s="96" t="n">
        <v>1.008</v>
      </c>
      <c r="G309" s="97" t="n">
        <v>106.63</v>
      </c>
    </row>
    <row r="310">
      <c r="C310" s="100" t="n"/>
      <c r="D310" s="96" t="inlineStr">
        <is>
          <t>8029400.0:SAREL APPAREILLAGE ELECTRIQUE - 1838.0x1838.0x1.45</t>
        </is>
      </c>
      <c r="E310" s="96" t="n">
        <v>0</v>
      </c>
      <c r="F310" s="96" t="n">
        <v>1.002</v>
      </c>
      <c r="G310" s="97" t="n">
        <v>69.94</v>
      </c>
    </row>
    <row r="311">
      <c r="C311" s="100" t="n"/>
      <c r="D311" s="96" t="inlineStr">
        <is>
          <t>8029412.0:SAREL APPAREILLAGE ELECTRIQUE - 1539.0x1339.0x1.15</t>
        </is>
      </c>
      <c r="E311" s="96" t="n">
        <v>0.01</v>
      </c>
      <c r="F311" s="96" t="n">
        <v>0.494</v>
      </c>
      <c r="G311" s="97" t="n">
        <v>11.59</v>
      </c>
    </row>
    <row r="312">
      <c r="C312" s="100" t="n"/>
      <c r="D312" s="96" t="inlineStr">
        <is>
          <t>8029409.0:SAREL APPAREILLAGE ELECTRIQUE - 1339.0x1339.0x1.15</t>
        </is>
      </c>
      <c r="E312" s="96" t="n">
        <v>0.02</v>
      </c>
      <c r="F312" s="96" t="n">
        <v>0.496</v>
      </c>
      <c r="G312" s="97" t="n">
        <v>3.9</v>
      </c>
    </row>
    <row r="313">
      <c r="C313" s="100" t="n"/>
      <c r="D313" s="96" t="inlineStr">
        <is>
          <t>8029392.0:SAREL APPAREILLAGE ELECTRIQUE - 2500.0x1650.0x2.0</t>
        </is>
      </c>
      <c r="E313" s="96" t="n">
        <v>0.06</v>
      </c>
      <c r="F313" s="96" t="n">
        <v>1.953</v>
      </c>
      <c r="G313" s="97" t="n">
        <v>4.37</v>
      </c>
    </row>
    <row r="314">
      <c r="C314" s="100" t="n"/>
      <c r="D314" s="96" t="inlineStr">
        <is>
          <t>8029405.0:SAREL APPAREILLAGE ELECTRIQUE - 1838.0x1438.0x1.45</t>
        </is>
      </c>
      <c r="E314" s="96" t="n">
        <v>0.03</v>
      </c>
      <c r="F314" s="96" t="n">
        <v>1.484</v>
      </c>
      <c r="G314" s="97" t="n">
        <v>6.28</v>
      </c>
    </row>
    <row r="315">
      <c r="C315" s="100" t="n"/>
      <c r="D315" s="96" t="inlineStr">
        <is>
          <t>8029406.0:SAREL APPAREILLAGE ELECTRIQUE - 1439.0x1439.0x1.15</t>
        </is>
      </c>
      <c r="E315" s="96" t="n">
        <v>0.03</v>
      </c>
      <c r="F315" s="96" t="n">
        <v>1.011</v>
      </c>
      <c r="G315" s="97" t="n">
        <v>4.44</v>
      </c>
    </row>
    <row r="316">
      <c r="C316" s="100" t="n"/>
      <c r="D316" s="96" t="inlineStr">
        <is>
          <t>8058505.0:SAREL APPAREILLAGE ELECTRIQUE - 2007.0x1221.5x1.45</t>
        </is>
      </c>
      <c r="E316" s="96" t="n">
        <v>0.02</v>
      </c>
      <c r="F316" s="96" t="n">
        <v>1.114</v>
      </c>
      <c r="G316" s="97" t="n">
        <v>6.38</v>
      </c>
    </row>
    <row r="317">
      <c r="C317" s="100" t="n"/>
      <c r="D317" s="96" t="inlineStr">
        <is>
          <t>8029408.0:SAREL APPAREILLAGE ELECTRIQUE - 2000.0x1000.0x2.5</t>
        </is>
      </c>
      <c r="E317" s="96" t="n">
        <v>0.03</v>
      </c>
      <c r="F317" s="96" t="n">
        <v>0.992</v>
      </c>
      <c r="G317" s="97" t="n">
        <v>3.94</v>
      </c>
    </row>
    <row r="318">
      <c r="C318" s="100" t="n"/>
      <c r="D318" s="96" t="inlineStr">
        <is>
          <t>8029396.0:SAREL APPAREILLAGE ELECTRIQUE - 1838.0x1238.0x1.45</t>
        </is>
      </c>
      <c r="E318" s="96" t="n">
        <v>0.01</v>
      </c>
      <c r="F318" s="96" t="n">
        <v>0.496</v>
      </c>
      <c r="G318" s="97" t="n">
        <v>4.56</v>
      </c>
    </row>
    <row r="319">
      <c r="C319" s="103" t="n"/>
      <c r="D319" s="104" t="inlineStr">
        <is>
          <t>8029398.0:SAREL APPAREILLAGE ELECTRIQUE - 2500.0x1250.0x1.0</t>
        </is>
      </c>
      <c r="E319" s="104" t="n">
        <v>0.01</v>
      </c>
      <c r="F319" s="104" t="n">
        <v>0.981</v>
      </c>
      <c r="G319" s="105" t="n">
        <v>12.08</v>
      </c>
    </row>
    <row r="323">
      <c r="C323" s="92" t="inlineStr">
        <is>
          <t>Details for : L1 proto - Postes Backlog</t>
        </is>
      </c>
      <c r="D323" s="93" t="inlineStr">
        <is>
          <t>Article : Client - Length x Width x Thickness</t>
        </is>
      </c>
      <c r="E323" s="93" t="inlineStr">
        <is>
          <t>Postes</t>
        </is>
      </c>
      <c r="F323" s="93" t="inlineStr">
        <is>
          <t>Tonnes</t>
        </is>
      </c>
      <c r="G323" s="94" t="inlineStr">
        <is>
          <t>Productivity</t>
        </is>
      </c>
    </row>
    <row r="324">
      <c r="C324" s="95" t="inlineStr">
        <is>
          <t>Sum Tonnes : 103.19</t>
        </is>
      </c>
      <c r="D324" s="96" t="inlineStr">
        <is>
          <t>8114437.0:RENAULT TECHNOLOGIE ROUMANIE SRL - 1600.0x1830.0x0.65</t>
        </is>
      </c>
      <c r="E324" s="96" t="n">
        <v>0.36</v>
      </c>
      <c r="F324" s="96" t="n">
        <v>8.967599999999999</v>
      </c>
      <c r="G324" s="97" t="n">
        <v>3.35</v>
      </c>
    </row>
    <row r="325">
      <c r="C325" s="95" t="inlineStr">
        <is>
          <t>Sum Postes : 9.1</t>
        </is>
      </c>
      <c r="D325" s="96" t="inlineStr">
        <is>
          <t>8109263.0:ARCELORMITTAL PROTO FLORANGE - 340.0x460.0x1.5</t>
        </is>
      </c>
      <c r="E325" s="96" t="n">
        <v>1.42</v>
      </c>
      <c r="F325" s="96" t="n">
        <v>0.7448</v>
      </c>
      <c r="G325" s="97" t="n">
        <v>0.07000000000000001</v>
      </c>
    </row>
    <row r="326">
      <c r="C326" s="95" t="inlineStr">
        <is>
          <t>Average Productivity : 2.23</t>
        </is>
      </c>
      <c r="D326" s="96" t="inlineStr">
        <is>
          <t>8110074.0:ARCELORMITTAL PROTO FLORANGE - 2500.0x1420.0x2.0</t>
        </is>
      </c>
      <c r="E326" s="96" t="n">
        <v>0.38</v>
      </c>
      <c r="F326" s="96" t="n">
        <v>14</v>
      </c>
      <c r="G326" s="97" t="n">
        <v>4.92</v>
      </c>
    </row>
    <row r="327">
      <c r="C327" s="100" t="n"/>
      <c r="D327" s="98" t="inlineStr">
        <is>
          <t>8110077.0:ARCELORMITTAL PROTO FLORANGE - 2500.0x1500.0x1.5</t>
        </is>
      </c>
      <c r="E327" s="98" t="n">
        <v>1.31</v>
      </c>
      <c r="F327" s="98" t="n">
        <v>47.9</v>
      </c>
      <c r="G327" s="99" t="n">
        <v>4.87</v>
      </c>
    </row>
    <row r="328">
      <c r="C328" s="100" t="n"/>
      <c r="D328" s="96" t="inlineStr">
        <is>
          <t>8110104.0:ARCELORMITTAL PROTO FLORANGE - 2500.0x1500.0x1.5</t>
        </is>
      </c>
      <c r="E328" s="96" t="n">
        <v>0.33</v>
      </c>
      <c r="F328" s="96" t="n">
        <v>12.12</v>
      </c>
      <c r="G328" s="97" t="n">
        <v>4.87</v>
      </c>
    </row>
    <row r="329">
      <c r="C329" s="100" t="n"/>
      <c r="D329" s="96" t="inlineStr">
        <is>
          <t>8111058.0:ARCELORMITTAL PROTO FLORANGE - 2500.0x1200.0x1.25</t>
        </is>
      </c>
      <c r="E329" s="96" t="n">
        <v>0.58</v>
      </c>
      <c r="F329" s="96" t="n">
        <v>6</v>
      </c>
      <c r="G329" s="97" t="n">
        <v>1.37</v>
      </c>
    </row>
    <row r="330">
      <c r="C330" s="100" t="n"/>
      <c r="D330" s="96" t="inlineStr">
        <is>
          <t>8111174.0:ARCELORMITTAL PROTO FLORANGE - 1000.0x1280.0x1.8</t>
        </is>
      </c>
      <c r="E330" s="96" t="n">
        <v>0.08</v>
      </c>
      <c r="F330" s="96" t="n">
        <v>0.53934</v>
      </c>
      <c r="G330" s="97" t="n">
        <v>0.9</v>
      </c>
    </row>
    <row r="331">
      <c r="C331" s="100" t="n"/>
      <c r="D331" s="101" t="inlineStr">
        <is>
          <t>8111183.0:ARCELORMITTAL PROTO FLORANGE - 1500.0x1229.0x1.2</t>
        </is>
      </c>
      <c r="E331" s="101" t="n">
        <v>0</v>
      </c>
      <c r="F331" s="101" t="n">
        <v>0.01211</v>
      </c>
      <c r="G331" s="102" t="n">
        <v>0.66</v>
      </c>
    </row>
    <row r="332">
      <c r="C332" s="100" t="n"/>
      <c r="D332" s="96" t="inlineStr">
        <is>
          <t>8113762.0:ARCELORMITTAL PROTO FLORANGE - 1050.0x1280.0x1.8</t>
        </is>
      </c>
      <c r="E332" s="96" t="n">
        <v>0.03</v>
      </c>
      <c r="F332" s="96" t="n">
        <v>0.94375</v>
      </c>
      <c r="G332" s="97" t="n">
        <v>3.86</v>
      </c>
    </row>
    <row r="333">
      <c r="C333" s="100" t="n"/>
      <c r="D333" s="96" t="inlineStr">
        <is>
          <t>8113763.0:ARCELORMITTAL PROTO FLORANGE - 1630.0x1280.0x1.2</t>
        </is>
      </c>
      <c r="E333" s="96" t="n">
        <v>0.68</v>
      </c>
      <c r="F333" s="96" t="n">
        <v>0.9679</v>
      </c>
      <c r="G333" s="97" t="n">
        <v>0.19</v>
      </c>
    </row>
    <row r="334">
      <c r="C334" s="100" t="n"/>
      <c r="D334" s="96" t="inlineStr">
        <is>
          <t>8111450.0:ARCELORMITTAL PROTO FLORANGE - 1239.0x316.0x0.75</t>
        </is>
      </c>
      <c r="E334" s="96" t="n">
        <v>1.65</v>
      </c>
      <c r="F334" s="96" t="n">
        <v>5.0695</v>
      </c>
      <c r="G334" s="97" t="n">
        <v>0.41</v>
      </c>
    </row>
    <row r="335">
      <c r="C335" s="100" t="n"/>
      <c r="D335" s="96" t="inlineStr">
        <is>
          <t>8113243.0:ARCELORMITTAL PROTO FLORANGE - 1239.0x316.0x0.8</t>
        </is>
      </c>
      <c r="E335" s="96" t="n">
        <v>0.11</v>
      </c>
      <c r="F335" s="96" t="n">
        <v>0.73188</v>
      </c>
      <c r="G335" s="97" t="n">
        <v>0.89</v>
      </c>
    </row>
    <row r="336">
      <c r="C336" s="100" t="n"/>
      <c r="D336" s="96" t="inlineStr">
        <is>
          <t>8111637.0:ARCELORMITTAL PROTO FLORANGE - 461.0x1410.0x1.7</t>
        </is>
      </c>
      <c r="E336" s="96" t="n">
        <v>0.33</v>
      </c>
      <c r="F336" s="96" t="n">
        <v>2.40762</v>
      </c>
      <c r="G336" s="97" t="n">
        <v>0.96</v>
      </c>
    </row>
    <row r="337">
      <c r="C337" s="100" t="n"/>
      <c r="D337" s="96" t="inlineStr">
        <is>
          <t>8111685.0:ARCELORMITTAL PROTO FLORANGE - 798.0x1350.0x1.3</t>
        </is>
      </c>
      <c r="E337" s="96" t="n">
        <v>0.24</v>
      </c>
      <c r="F337" s="96" t="n">
        <v>1.57464</v>
      </c>
      <c r="G337" s="97" t="n">
        <v>0.86</v>
      </c>
    </row>
    <row r="338">
      <c r="C338" s="100" t="n"/>
      <c r="D338" s="96" t="inlineStr">
        <is>
          <t>8111784.0:ARCELORMITTAL PROTO FLORANGE - 500.0x1510.0x1.2</t>
        </is>
      </c>
      <c r="E338" s="96" t="n">
        <v>0.21</v>
      </c>
      <c r="F338" s="96" t="n">
        <v>0.50414</v>
      </c>
      <c r="G338" s="97" t="n">
        <v>0.32</v>
      </c>
    </row>
    <row r="339">
      <c r="C339" s="100" t="n"/>
      <c r="D339" s="96" t="inlineStr">
        <is>
          <t>8111884.0:ARCELORMITTAL PROTO FLORANGE - 500.0x932.0x1.52</t>
        </is>
      </c>
      <c r="E339" s="96" t="n">
        <v>0.41</v>
      </c>
      <c r="F339" s="96" t="n">
        <v>0.3107</v>
      </c>
      <c r="G339" s="97" t="n">
        <v>0.1</v>
      </c>
    </row>
    <row r="340">
      <c r="C340" s="100" t="n"/>
      <c r="D340" s="96" t="inlineStr">
        <is>
          <t>8111803.0:ARCELORMITTAL PROTO FLORANGE - 500.0x1310.0x1.4</t>
        </is>
      </c>
      <c r="E340" s="96" t="n">
        <v>0.09</v>
      </c>
      <c r="F340" s="96" t="n">
        <v>0.14292</v>
      </c>
      <c r="G340" s="97" t="n">
        <v>0.21</v>
      </c>
    </row>
    <row r="341">
      <c r="C341" s="100" t="n"/>
      <c r="D341" s="96" t="inlineStr">
        <is>
          <t>8111906.0:ARCELORMITTAL PROTO FLORANGE - 500.0x1355.0x1.4</t>
        </is>
      </c>
      <c r="E341" s="96" t="n">
        <v>0.18</v>
      </c>
      <c r="F341" s="96" t="n">
        <v>0.14778</v>
      </c>
      <c r="G341" s="97" t="n">
        <v>0.11</v>
      </c>
    </row>
    <row r="342">
      <c r="C342" s="103" t="n"/>
      <c r="D342" s="104" t="inlineStr">
        <is>
          <t>8112016.0:ARCELORMITTAL PROTO FLORANGE - 1250.0x1200.0x1.5</t>
        </is>
      </c>
      <c r="E342" s="104" t="n">
        <v>0.71</v>
      </c>
      <c r="F342" s="104" t="n">
        <v>0.107</v>
      </c>
      <c r="G342" s="105" t="n">
        <v>0.02</v>
      </c>
    </row>
    <row r="346">
      <c r="C346" s="92" t="inlineStr">
        <is>
          <t>Details for : L1 proto - Postes Forecast W</t>
        </is>
      </c>
      <c r="D346" s="93" t="inlineStr">
        <is>
          <t>Article : Client - Length x Width x Thickness</t>
        </is>
      </c>
      <c r="E346" s="93" t="inlineStr">
        <is>
          <t>Postes</t>
        </is>
      </c>
      <c r="F346" s="93" t="inlineStr">
        <is>
          <t>Tonnes</t>
        </is>
      </c>
      <c r="G346" s="94" t="inlineStr">
        <is>
          <t>Productivity</t>
        </is>
      </c>
    </row>
    <row r="347">
      <c r="C347" s="95" t="inlineStr">
        <is>
          <t>Sum Tonnes : 17.78</t>
        </is>
      </c>
      <c r="D347" s="98" t="inlineStr">
        <is>
          <t>8111071.0:ARCELORMITTAL PROTO FLORANGE - 2500.0x1400.0x2.0</t>
        </is>
      </c>
      <c r="E347" s="98" t="n">
        <v>0.33</v>
      </c>
      <c r="F347" s="98" t="n">
        <v>6.05</v>
      </c>
      <c r="G347" s="99" t="n">
        <v>2.44</v>
      </c>
    </row>
    <row r="348">
      <c r="C348" s="95" t="inlineStr">
        <is>
          <t>Sum Postes : 3.14</t>
        </is>
      </c>
      <c r="D348" s="96" t="inlineStr">
        <is>
          <t>8111490.0:ARCELORMITTAL PROTO FLORANGE - 2500.0x1400.0x1.75</t>
        </is>
      </c>
      <c r="E348" s="96" t="n">
        <v>0.42</v>
      </c>
      <c r="F348" s="96" t="n">
        <v>6.01</v>
      </c>
      <c r="G348" s="97" t="n">
        <v>1.93</v>
      </c>
    </row>
    <row r="349">
      <c r="C349" s="95" t="inlineStr">
        <is>
          <t>Average Productivity : 2.23</t>
        </is>
      </c>
      <c r="D349" s="96" t="inlineStr">
        <is>
          <t>8112937.0:ARCELORMITTAL PROTO FLORANGE - 500.0x1070.0x1.5</t>
        </is>
      </c>
      <c r="E349" s="96" t="n">
        <v>0.43</v>
      </c>
      <c r="F349" s="96" t="n">
        <v>0.0639</v>
      </c>
      <c r="G349" s="97" t="n">
        <v>0.02</v>
      </c>
    </row>
    <row r="350">
      <c r="C350" s="100" t="n"/>
      <c r="D350" s="101" t="inlineStr">
        <is>
          <t>8112939.0:ARCELORMITTAL PROTO FLORANGE - 500.0x1840.0x0.79</t>
        </is>
      </c>
      <c r="E350" s="101" t="n">
        <v>0.09</v>
      </c>
      <c r="F350" s="101" t="n">
        <v>0.05759</v>
      </c>
      <c r="G350" s="102" t="n">
        <v>0.09</v>
      </c>
    </row>
    <row r="351">
      <c r="C351" s="100" t="n"/>
      <c r="D351" s="96" t="inlineStr">
        <is>
          <t>8113018.0:ARCELORMITTAL PROTO FLORANGE - 1000.0x1645.0x1.5</t>
        </is>
      </c>
      <c r="E351" s="96" t="n">
        <v>0.14</v>
      </c>
      <c r="F351" s="96" t="n">
        <v>0.38336</v>
      </c>
      <c r="G351" s="97" t="n">
        <v>0.37</v>
      </c>
    </row>
    <row r="352">
      <c r="C352" s="100" t="n"/>
      <c r="D352" s="96" t="inlineStr">
        <is>
          <t>8113123.0:ARCELORMITTAL PROTO FLORANGE - 1000.0x1530.0x1.6</t>
        </is>
      </c>
      <c r="E352" s="96" t="n">
        <v>0.01</v>
      </c>
      <c r="F352" s="96" t="n">
        <v>0.38202</v>
      </c>
      <c r="G352" s="97" t="n">
        <v>4.87</v>
      </c>
    </row>
    <row r="353">
      <c r="C353" s="100" t="n"/>
      <c r="D353" s="96" t="inlineStr">
        <is>
          <t>8114808.0:ARCELORMITTAL PROTO FLORANGE - 1000.0x1500.0x1.4</t>
        </is>
      </c>
      <c r="E353" s="96" t="n">
        <v>0.31</v>
      </c>
      <c r="F353" s="96" t="n">
        <v>0.32598</v>
      </c>
      <c r="G353" s="97" t="n">
        <v>0.14</v>
      </c>
    </row>
    <row r="354">
      <c r="C354" s="100" t="n"/>
      <c r="D354" s="96" t="inlineStr">
        <is>
          <t>8113536.0:ARCELORMITTAL PROTO FLORANGE - 550.0x624.0x1.5</t>
        </is>
      </c>
      <c r="E354" s="96" t="n">
        <v>0.36</v>
      </c>
      <c r="F354" s="96" t="n">
        <v>0.08008</v>
      </c>
      <c r="G354" s="97" t="n">
        <v>0.03</v>
      </c>
    </row>
    <row r="355">
      <c r="C355" s="100" t="n"/>
      <c r="D355" s="96" t="inlineStr">
        <is>
          <t>8113539.0:ARCELORMITTAL PROTO FLORANGE - 1145.0x995.0x1.5</t>
        </is>
      </c>
      <c r="E355" s="96" t="n">
        <v>0.17</v>
      </c>
      <c r="F355" s="96" t="n">
        <v>0.59535</v>
      </c>
      <c r="G355" s="97" t="n">
        <v>0.46</v>
      </c>
    </row>
    <row r="356">
      <c r="C356" s="100" t="n"/>
      <c r="D356" s="96" t="inlineStr">
        <is>
          <t>8113551.0:ARCELORMITTAL PROTO FLORANGE - 1190.0x1016.0x1.5</t>
        </is>
      </c>
      <c r="E356" s="96" t="n">
        <v>0.39</v>
      </c>
      <c r="F356" s="96" t="n">
        <v>0.56148</v>
      </c>
      <c r="G356" s="97" t="n">
        <v>0.19</v>
      </c>
    </row>
    <row r="357">
      <c r="C357" s="100" t="n"/>
      <c r="D357" s="96" t="inlineStr">
        <is>
          <t>8113552.0:ARCELORMITTAL PROTO FLORANGE - 450.0x1156.0x2.0</t>
        </is>
      </c>
      <c r="E357" s="96" t="n">
        <v>0.17</v>
      </c>
      <c r="F357" s="96" t="n">
        <v>0.60698</v>
      </c>
      <c r="G357" s="97" t="n">
        <v>0.49</v>
      </c>
    </row>
    <row r="358">
      <c r="C358" s="100" t="n"/>
      <c r="D358" s="96" t="inlineStr">
        <is>
          <t>8113566.0:ARCELORMITTAL PROTO FLORANGE - 2100.0x900.0x1.5</t>
        </is>
      </c>
      <c r="E358" s="96" t="n">
        <v>0.19</v>
      </c>
      <c r="F358" s="96" t="n">
        <v>0.21928</v>
      </c>
      <c r="G358" s="97" t="n">
        <v>0.15</v>
      </c>
    </row>
    <row r="359">
      <c r="C359" s="100" t="n"/>
      <c r="D359" s="96" t="inlineStr">
        <is>
          <t>8113568.0:ARCELORMITTAL PROTO FLORANGE - 2400.0x900.0x1.5</t>
        </is>
      </c>
      <c r="E359" s="96" t="n">
        <v>0.08</v>
      </c>
      <c r="F359" s="96" t="n">
        <v>1.00224</v>
      </c>
      <c r="G359" s="97" t="n">
        <v>1.64</v>
      </c>
    </row>
    <row r="360">
      <c r="C360" s="100" t="n"/>
      <c r="D360" s="96" t="inlineStr">
        <is>
          <t>8113569.0:ARCELORMITTAL PROTO FLORANGE - 1000.0x1500.0x2.0</t>
        </is>
      </c>
      <c r="E360" s="96" t="n">
        <v>0.02</v>
      </c>
      <c r="F360" s="96" t="n">
        <v>0.23282</v>
      </c>
      <c r="G360" s="97" t="n">
        <v>1.45</v>
      </c>
    </row>
    <row r="361">
      <c r="C361" s="103" t="n"/>
      <c r="D361" s="104" t="inlineStr">
        <is>
          <t>8114366.0:ARCELORMITTAL PROTO FLORANGE - 2000.0x1270.0x2.0</t>
        </is>
      </c>
      <c r="E361" s="104" t="n">
        <v>0.03</v>
      </c>
      <c r="F361" s="104" t="n">
        <v>1.20642</v>
      </c>
      <c r="G361" s="105" t="n">
        <v>4.92</v>
      </c>
    </row>
    <row r="365">
      <c r="C365" s="92" t="inlineStr">
        <is>
          <t>Details for : L1 proto - Postes Forecast W1</t>
        </is>
      </c>
      <c r="D365" s="93" t="inlineStr">
        <is>
          <t>Article : Client - Length x Width x Thickness</t>
        </is>
      </c>
      <c r="E365" s="93" t="inlineStr">
        <is>
          <t>Postes</t>
        </is>
      </c>
      <c r="F365" s="93" t="inlineStr">
        <is>
          <t>Tonnes</t>
        </is>
      </c>
      <c r="G365" s="94" t="inlineStr">
        <is>
          <t>Productivity</t>
        </is>
      </c>
    </row>
    <row r="366">
      <c r="C366" s="95" t="inlineStr">
        <is>
          <t>Sum Tonnes : 71.8</t>
        </is>
      </c>
      <c r="D366" s="96" t="inlineStr">
        <is>
          <t>8111788.0:ARCELORMITTAL PROTO FLORANGE - 2200.0x1100.0x1.1</t>
        </is>
      </c>
      <c r="E366" s="96" t="n">
        <v>0.8100000000000001</v>
      </c>
      <c r="F366" s="96" t="n">
        <v>9.792960000000001</v>
      </c>
      <c r="G366" s="97" t="n">
        <v>1.61</v>
      </c>
    </row>
    <row r="367">
      <c r="C367" s="95" t="inlineStr">
        <is>
          <t>Sum Postes : 2.79</t>
        </is>
      </c>
      <c r="D367" s="96" t="inlineStr">
        <is>
          <t>8111844.0:ARCELORMITTAL PROTO FLORANGE - 2200.0x1400.0x1.2</t>
        </is>
      </c>
      <c r="E367" s="96" t="n">
        <v>0.23</v>
      </c>
      <c r="F367" s="96" t="n">
        <v>9.789720000000001</v>
      </c>
      <c r="G367" s="97" t="n">
        <v>5.61</v>
      </c>
    </row>
    <row r="368">
      <c r="C368" s="95" t="inlineStr">
        <is>
          <t>Average Productivity : 2.23</t>
        </is>
      </c>
      <c r="D368" s="96" t="inlineStr">
        <is>
          <t>8113404.0:ARCELORMITTAL PROTO FLORANGE - 1000.0x1513.0x1.5</t>
        </is>
      </c>
      <c r="E368" s="96" t="n">
        <v>0.14</v>
      </c>
      <c r="F368" s="96" t="n">
        <v>0.44927</v>
      </c>
      <c r="G368" s="97" t="n">
        <v>0.44</v>
      </c>
    </row>
    <row r="369">
      <c r="C369" s="100" t="n"/>
      <c r="D369" s="101" t="inlineStr">
        <is>
          <t>8113441.0:ARCELORMITTAL PROTO FLORANGE - 1000.0x1176.0x0.73</t>
        </is>
      </c>
      <c r="E369" s="101" t="n">
        <v>0</v>
      </c>
      <c r="F369" s="101" t="n">
        <v>0.03409</v>
      </c>
      <c r="G369" s="102" t="n">
        <v>4.87</v>
      </c>
    </row>
    <row r="370">
      <c r="C370" s="100" t="n"/>
      <c r="D370" s="96" t="inlineStr">
        <is>
          <t>8113445.0:ARCELORMITTAL PROTO FLORANGE - 500.0x1176.0x0.73</t>
        </is>
      </c>
      <c r="E370" s="96" t="n">
        <v>0.01</v>
      </c>
      <c r="F370" s="96" t="n">
        <v>0.54704</v>
      </c>
      <c r="G370" s="97" t="n">
        <v>4.87</v>
      </c>
    </row>
    <row r="371">
      <c r="C371" s="100" t="n"/>
      <c r="D371" s="96" t="inlineStr">
        <is>
          <t>8113528.0:ARCELORMITTAL PROTO FLORANGE - 1000.0x1176.0x0.73</t>
        </is>
      </c>
      <c r="E371" s="96" t="n">
        <v>0</v>
      </c>
      <c r="F371" s="96" t="n">
        <v>0.06816999999999999</v>
      </c>
      <c r="G371" s="97" t="n">
        <v>4.87</v>
      </c>
    </row>
    <row r="372">
      <c r="C372" s="100" t="n"/>
      <c r="D372" s="96" t="inlineStr">
        <is>
          <t>8113531.0:ARCELORMITTAL PROTO FLORANGE - 500.0x1176.0x0.73</t>
        </is>
      </c>
      <c r="E372" s="96" t="n">
        <v>0.01</v>
      </c>
      <c r="F372" s="96" t="n">
        <v>0.54704</v>
      </c>
      <c r="G372" s="97" t="n">
        <v>4.87</v>
      </c>
    </row>
    <row r="373">
      <c r="C373" s="100" t="n"/>
      <c r="D373" s="96" t="inlineStr">
        <is>
          <t>8113591.0:ARCELORMITTAL PROTO FLORANGE - 500.0x830.0x1.6</t>
        </is>
      </c>
      <c r="E373" s="96" t="n">
        <v>0.01</v>
      </c>
      <c r="F373" s="96" t="n">
        <v>0.2665</v>
      </c>
      <c r="G373" s="97" t="n">
        <v>4.87</v>
      </c>
    </row>
    <row r="374">
      <c r="C374" s="100" t="n"/>
      <c r="D374" s="98" t="inlineStr">
        <is>
          <t>8113664.0:ARCELORMITTAL PROTO FLORANGE - 500.0x830.0x1.6</t>
        </is>
      </c>
      <c r="E374" s="98" t="n">
        <v>1.37</v>
      </c>
      <c r="F374" s="98" t="n">
        <v>50</v>
      </c>
      <c r="G374" s="99" t="n">
        <v>4.87</v>
      </c>
    </row>
    <row r="375">
      <c r="C375" s="103" t="n"/>
      <c r="D375" s="104" t="inlineStr">
        <is>
          <t>8113897.0:ARCELORMITTAL PROTO FLORANGE - 798.0x1350.0x1.3</t>
        </is>
      </c>
      <c r="E375" s="104" t="n">
        <v>0.21</v>
      </c>
      <c r="F375" s="104" t="n">
        <v>0.30993</v>
      </c>
      <c r="G375" s="105" t="n">
        <v>0.2</v>
      </c>
    </row>
    <row r="379">
      <c r="C379" s="92" t="inlineStr">
        <is>
          <t>Details for : L1 proto - Postes Forecast W2</t>
        </is>
      </c>
      <c r="D379" s="93" t="inlineStr">
        <is>
          <t>Article : Client - Length x Width x Thickness</t>
        </is>
      </c>
      <c r="E379" s="93" t="inlineStr">
        <is>
          <t>Postes</t>
        </is>
      </c>
      <c r="F379" s="93" t="inlineStr">
        <is>
          <t>Tonnes</t>
        </is>
      </c>
      <c r="G379" s="94" t="inlineStr">
        <is>
          <t>Productivity</t>
        </is>
      </c>
    </row>
    <row r="380">
      <c r="C380" s="95" t="inlineStr">
        <is>
          <t>Sum Tonnes : 0.68</t>
        </is>
      </c>
      <c r="D380" s="101" t="inlineStr">
        <is>
          <t>8114034.0:ARCELORMITTAL PROTO FLORANGE - 500.0x1500.0x1.5</t>
        </is>
      </c>
      <c r="E380" s="101" t="n">
        <v>0.03</v>
      </c>
      <c r="F380" s="101" t="n">
        <v>0.06109</v>
      </c>
      <c r="G380" s="102" t="n">
        <v>0.25</v>
      </c>
    </row>
    <row r="381">
      <c r="C381" s="95" t="inlineStr">
        <is>
          <t>Sum Postes : 0.04</t>
        </is>
      </c>
      <c r="D381" s="98" t="inlineStr">
        <is>
          <t>8114523.0:ARCELORMITTAL PROTO FLORANGE - 2000.0x1355.0x1.5</t>
        </is>
      </c>
      <c r="E381" s="98" t="n">
        <v>0.01</v>
      </c>
      <c r="F381" s="98" t="n">
        <v>0.47345</v>
      </c>
      <c r="G381" s="99" t="n">
        <v>4.87</v>
      </c>
    </row>
    <row r="382">
      <c r="C382" s="106" t="inlineStr">
        <is>
          <t>Average Productivity : 2.23</t>
        </is>
      </c>
      <c r="D382" s="104" t="inlineStr">
        <is>
          <t>8114524.0:ARCELORMITTAL PROTO FLORANGE - 500.0x1187.0x2.0</t>
        </is>
      </c>
      <c r="E382" s="104" t="n">
        <v>0</v>
      </c>
      <c r="F382" s="104" t="n">
        <v>0.14179</v>
      </c>
      <c r="G382" s="105" t="n">
        <v>4.92</v>
      </c>
    </row>
    <row r="386">
      <c r="C386" s="92" t="inlineStr">
        <is>
          <t>Details for : L1 proto - Postes Forecast W3</t>
        </is>
      </c>
      <c r="D386" s="93" t="inlineStr">
        <is>
          <t>Article : Client - Length x Width x Thickness</t>
        </is>
      </c>
      <c r="E386" s="93" t="inlineStr">
        <is>
          <t>Postes</t>
        </is>
      </c>
      <c r="F386" s="93" t="inlineStr">
        <is>
          <t>Tonnes</t>
        </is>
      </c>
      <c r="G386" s="94" t="inlineStr">
        <is>
          <t>Productivity</t>
        </is>
      </c>
    </row>
    <row r="387">
      <c r="C387" s="95" t="inlineStr">
        <is>
          <t>Sum Tonnes : 2.01</t>
        </is>
      </c>
      <c r="D387" s="96" t="inlineStr">
        <is>
          <t>8112219.0:ARCELORMITTAL PROTO FLORANGE - 500.0x1500.0x1.5</t>
        </is>
      </c>
      <c r="E387" s="96" t="n">
        <v>0.02</v>
      </c>
      <c r="F387" s="96" t="n">
        <v>0.74111</v>
      </c>
      <c r="G387" s="97" t="n">
        <v>4.87</v>
      </c>
    </row>
    <row r="388">
      <c r="C388" s="95" t="inlineStr">
        <is>
          <t>Sum Postes : 0.07</t>
        </is>
      </c>
      <c r="D388" s="98" t="inlineStr">
        <is>
          <t>8112230.0:ARCELORMITTAL PROTO FLORANGE - 500.0x1050.0x3.0</t>
        </is>
      </c>
      <c r="E388" s="98" t="n">
        <v>0.04</v>
      </c>
      <c r="F388" s="98" t="n">
        <v>1.04882</v>
      </c>
      <c r="G388" s="99" t="n">
        <v>3.26</v>
      </c>
    </row>
    <row r="389">
      <c r="C389" s="106" t="inlineStr">
        <is>
          <t>Average Productivity : 2.23</t>
        </is>
      </c>
      <c r="D389" s="109" t="inlineStr">
        <is>
          <t>8114767.0:DACIA MECANIQUE - 1200.0x1500.0x1.6</t>
        </is>
      </c>
      <c r="E389" s="109" t="n">
        <v>0.01</v>
      </c>
      <c r="F389" s="109" t="n">
        <v>0.22281</v>
      </c>
      <c r="G389" s="110" t="n">
        <v>2.92</v>
      </c>
    </row>
    <row r="393">
      <c r="C393" s="92" t="inlineStr">
        <is>
          <t>Details for : L1 proto - Postes Forecast W6</t>
        </is>
      </c>
      <c r="D393" s="93" t="inlineStr">
        <is>
          <t>Article : Client - Length x Width x Thickness</t>
        </is>
      </c>
      <c r="E393" s="93" t="inlineStr">
        <is>
          <t>Postes</t>
        </is>
      </c>
      <c r="F393" s="93" t="inlineStr">
        <is>
          <t>Tonnes</t>
        </is>
      </c>
      <c r="G393" s="94" t="inlineStr">
        <is>
          <t>Productivity</t>
        </is>
      </c>
    </row>
    <row r="394">
      <c r="C394" s="95" t="inlineStr">
        <is>
          <t>Sum Tonnes : 32.28</t>
        </is>
      </c>
      <c r="D394" s="98" t="inlineStr">
        <is>
          <t>8114716.0:ARCELORMITTAL PROTO FLORANGE - 3100.0x1580.0x0.7</t>
        </is>
      </c>
      <c r="E394" s="98" t="n">
        <v>0.88</v>
      </c>
      <c r="F394" s="98" t="n">
        <v>32.2848</v>
      </c>
      <c r="G394" s="99" t="n">
        <v>4.87</v>
      </c>
    </row>
    <row r="395">
      <c r="C395" s="95" t="inlineStr">
        <is>
          <t>Sum Postes : 0.88</t>
        </is>
      </c>
      <c r="D395" s="96" t="n"/>
      <c r="E395" s="96" t="n"/>
      <c r="F395" s="96" t="n"/>
      <c r="G395" s="97" t="n"/>
    </row>
    <row r="396">
      <c r="C396" s="106" t="inlineStr">
        <is>
          <t>Average Productivity : 2.23</t>
        </is>
      </c>
      <c r="D396" s="104" t="n"/>
      <c r="E396" s="104" t="n"/>
      <c r="F396" s="104" t="n"/>
      <c r="G396" s="105" t="n"/>
    </row>
    <row r="400">
      <c r="C400" s="92" t="inlineStr">
        <is>
          <t>Details for : L1 proto - Postes Forecast W8</t>
        </is>
      </c>
      <c r="D400" s="93" t="inlineStr">
        <is>
          <t>Article : Client - Length x Width x Thickness</t>
        </is>
      </c>
      <c r="E400" s="93" t="inlineStr">
        <is>
          <t>Postes</t>
        </is>
      </c>
      <c r="F400" s="93" t="inlineStr">
        <is>
          <t>Tonnes</t>
        </is>
      </c>
      <c r="G400" s="94" t="inlineStr">
        <is>
          <t>Productivity</t>
        </is>
      </c>
    </row>
    <row r="401">
      <c r="C401" s="95" t="inlineStr">
        <is>
          <t>Sum Tonnes : 32.28</t>
        </is>
      </c>
      <c r="D401" s="98" t="inlineStr">
        <is>
          <t>8114701.0:ARCELORMITTAL PROTO FLORANGE - 3100.0x1580.0x0.7</t>
        </is>
      </c>
      <c r="E401" s="98" t="n">
        <v>0.88</v>
      </c>
      <c r="F401" s="98" t="n">
        <v>32.2848</v>
      </c>
      <c r="G401" s="99" t="n">
        <v>4.87</v>
      </c>
    </row>
    <row r="402">
      <c r="C402" s="95" t="inlineStr">
        <is>
          <t>Sum Postes : 0.88</t>
        </is>
      </c>
      <c r="D402" s="96" t="n"/>
      <c r="E402" s="96" t="n"/>
      <c r="F402" s="96" t="n"/>
      <c r="G402" s="97" t="n"/>
    </row>
    <row r="403">
      <c r="C403" s="106" t="inlineStr">
        <is>
          <t>Average Productivity : 2.23</t>
        </is>
      </c>
      <c r="D403" s="104" t="n"/>
      <c r="E403" s="104" t="n"/>
      <c r="F403" s="104" t="n"/>
      <c r="G403" s="105" t="n"/>
    </row>
    <row r="407">
      <c r="C407" s="92" t="inlineStr">
        <is>
          <t>Details for : LASS1, serie - Postes Backlog</t>
        </is>
      </c>
      <c r="D407" s="93" t="inlineStr">
        <is>
          <t>Article : Client - Length x Width x Thickness</t>
        </is>
      </c>
      <c r="E407" s="93" t="inlineStr">
        <is>
          <t>Postes</t>
        </is>
      </c>
      <c r="F407" s="93" t="inlineStr">
        <is>
          <t>Tonnes</t>
        </is>
      </c>
      <c r="G407" s="94" t="inlineStr">
        <is>
          <t>Productivity</t>
        </is>
      </c>
    </row>
    <row r="408">
      <c r="C408" s="95" t="inlineStr">
        <is>
          <t>Sum Tonnes : 0.62</t>
        </is>
      </c>
      <c r="D408" s="98" t="inlineStr">
        <is>
          <t>8107433.0:ARCELORMITTAL PROTO FLORANGE - 0.0x0.0x1.6</t>
        </is>
      </c>
      <c r="E408" s="98" t="n">
        <v>0.02</v>
      </c>
      <c r="F408" s="98" t="n">
        <v>0.6222</v>
      </c>
      <c r="G408" s="99" t="n">
        <v>4.6</v>
      </c>
    </row>
    <row r="409">
      <c r="C409" s="95" t="inlineStr">
        <is>
          <t>Sum Postes : 0.02</t>
        </is>
      </c>
      <c r="D409" s="96" t="n"/>
      <c r="E409" s="96" t="n"/>
      <c r="F409" s="96" t="n"/>
      <c r="G409" s="97" t="n"/>
    </row>
    <row r="410">
      <c r="C410" s="106" t="inlineStr">
        <is>
          <t>Average Productivity : 4.08</t>
        </is>
      </c>
      <c r="D410" s="104" t="n"/>
      <c r="E410" s="104" t="n"/>
      <c r="F410" s="104" t="n"/>
      <c r="G410" s="105" t="n"/>
    </row>
    <row r="414">
      <c r="C414" s="92" t="inlineStr">
        <is>
          <t>Details for : LASS1, serie - Postes Forecast W</t>
        </is>
      </c>
      <c r="D414" s="93" t="inlineStr">
        <is>
          <t>Article : Client - Length x Width x Thickness</t>
        </is>
      </c>
      <c r="E414" s="93" t="inlineStr">
        <is>
          <t>Postes</t>
        </is>
      </c>
      <c r="F414" s="93" t="inlineStr">
        <is>
          <t>Tonnes</t>
        </is>
      </c>
      <c r="G414" s="94" t="inlineStr">
        <is>
          <t>Productivity</t>
        </is>
      </c>
    </row>
    <row r="415">
      <c r="C415" s="95" t="inlineStr">
        <is>
          <t>Sum Tonnes : 2.95</t>
        </is>
      </c>
      <c r="D415" s="98" t="inlineStr">
        <is>
          <t>8114615.0:ARCELORMITTAL PROTO FLORANGE - 0.0x0.0x1.8</t>
        </is>
      </c>
      <c r="E415" s="98" t="n">
        <v>0.93</v>
      </c>
      <c r="F415" s="98" t="n">
        <v>1.88811</v>
      </c>
      <c r="G415" s="99" t="n">
        <v>0.27</v>
      </c>
    </row>
    <row r="416">
      <c r="C416" s="95" t="inlineStr">
        <is>
          <t>Sum Postes : 1.05</t>
        </is>
      </c>
      <c r="D416" s="101" t="inlineStr">
        <is>
          <t>8114617.0:ARCELORMITTAL PROTO FLORANGE - 0.0x0.0x1.8</t>
        </is>
      </c>
      <c r="E416" s="101" t="n">
        <v>0.12</v>
      </c>
      <c r="F416" s="101" t="n">
        <v>1.05894</v>
      </c>
      <c r="G416" s="102" t="n">
        <v>1.14</v>
      </c>
    </row>
    <row r="417">
      <c r="C417" s="106" t="inlineStr">
        <is>
          <t>Average Productivity : 4.08</t>
        </is>
      </c>
      <c r="D417" s="104" t="n"/>
      <c r="E417" s="104" t="n"/>
      <c r="F417" s="104" t="n"/>
      <c r="G417" s="105" t="n"/>
    </row>
    <row r="421">
      <c r="C421" s="92" t="inlineStr">
        <is>
          <t>Details for : LASS1, serie - Postes Forecast W2</t>
        </is>
      </c>
      <c r="D421" s="93" t="inlineStr">
        <is>
          <t>Article : Client - Length x Width x Thickness</t>
        </is>
      </c>
      <c r="E421" s="93" t="inlineStr">
        <is>
          <t>Postes</t>
        </is>
      </c>
      <c r="F421" s="93" t="inlineStr">
        <is>
          <t>Tonnes</t>
        </is>
      </c>
      <c r="G421" s="94" t="inlineStr">
        <is>
          <t>Productivity</t>
        </is>
      </c>
    </row>
    <row r="422">
      <c r="C422" s="95" t="inlineStr">
        <is>
          <t>Sum Tonnes : 31.88</t>
        </is>
      </c>
      <c r="D422" s="98" t="inlineStr">
        <is>
          <t>8018115.0:SODECIA AUTOMOTIVE SAARLOUIS GMBH - 0.0x0.0x1.8</t>
        </is>
      </c>
      <c r="E422" s="98" t="n">
        <v>2.19</v>
      </c>
      <c r="F422" s="98" t="n">
        <v>29.08125</v>
      </c>
      <c r="G422" s="99" t="n">
        <v>1.77</v>
      </c>
    </row>
    <row r="423">
      <c r="C423" s="95" t="inlineStr">
        <is>
          <t>Sum Postes : 3.32</t>
        </is>
      </c>
      <c r="D423" s="101" t="inlineStr">
        <is>
          <t>8069742.0:SNOP VILLEPINTE - 0.0x0.0x1.6</t>
        </is>
      </c>
      <c r="E423" s="101" t="n">
        <v>1.13</v>
      </c>
      <c r="F423" s="101" t="n">
        <v>2.796</v>
      </c>
      <c r="G423" s="102" t="n">
        <v>0.33</v>
      </c>
    </row>
    <row r="424">
      <c r="C424" s="106" t="inlineStr">
        <is>
          <t>Average Productivity : 4.08</t>
        </is>
      </c>
      <c r="D424" s="104" t="n"/>
      <c r="E424" s="104" t="n"/>
      <c r="F424" s="104" t="n"/>
      <c r="G424" s="105" t="n"/>
    </row>
    <row r="428">
      <c r="C428" s="92" t="inlineStr">
        <is>
          <t>Details for : LASS1, serie - Postes Forecast W4</t>
        </is>
      </c>
      <c r="D428" s="93" t="inlineStr">
        <is>
          <t>Article : Client - Length x Width x Thickness</t>
        </is>
      </c>
      <c r="E428" s="93" t="inlineStr">
        <is>
          <t>Postes</t>
        </is>
      </c>
      <c r="F428" s="93" t="inlineStr">
        <is>
          <t>Tonnes</t>
        </is>
      </c>
      <c r="G428" s="94" t="inlineStr">
        <is>
          <t>Productivity</t>
        </is>
      </c>
    </row>
    <row r="429">
      <c r="C429" s="95" t="inlineStr">
        <is>
          <t>Sum Tonnes : 2.73</t>
        </is>
      </c>
      <c r="D429" s="98" t="inlineStr">
        <is>
          <t>8071005.0:SNOP VILLEPINTE - 0.0x0.0x1.8</t>
        </is>
      </c>
      <c r="E429" s="98" t="n">
        <v>0.83</v>
      </c>
      <c r="F429" s="98" t="n">
        <v>2.73</v>
      </c>
      <c r="G429" s="99" t="n">
        <v>0.44</v>
      </c>
    </row>
    <row r="430">
      <c r="C430" s="95" t="inlineStr">
        <is>
          <t>Sum Postes : 0.83</t>
        </is>
      </c>
      <c r="D430" s="96" t="n"/>
      <c r="E430" s="96" t="n"/>
      <c r="F430" s="96" t="n"/>
      <c r="G430" s="97" t="n"/>
    </row>
    <row r="431">
      <c r="C431" s="106" t="inlineStr">
        <is>
          <t>Average Productivity : 4.08</t>
        </is>
      </c>
      <c r="D431" s="104" t="n"/>
      <c r="E431" s="104" t="n"/>
      <c r="F431" s="104" t="n"/>
      <c r="G431" s="105" t="n"/>
    </row>
    <row r="435">
      <c r="C435" s="92" t="inlineStr">
        <is>
          <t>Details for : LASS1, serie - Postes Forecast W6</t>
        </is>
      </c>
      <c r="D435" s="93" t="inlineStr">
        <is>
          <t>Article : Client - Length x Width x Thickness</t>
        </is>
      </c>
      <c r="E435" s="93" t="inlineStr">
        <is>
          <t>Postes</t>
        </is>
      </c>
      <c r="F435" s="93" t="inlineStr">
        <is>
          <t>Tonnes</t>
        </is>
      </c>
      <c r="G435" s="94" t="inlineStr">
        <is>
          <t>Productivity</t>
        </is>
      </c>
    </row>
    <row r="436">
      <c r="C436" s="95" t="inlineStr">
        <is>
          <t>Sum Tonnes : 5.66</t>
        </is>
      </c>
      <c r="D436" s="98" t="inlineStr">
        <is>
          <t>8070484.0:SNOP VILLEPINTE - 0.0x0.0x1.6</t>
        </is>
      </c>
      <c r="E436" s="98" t="n">
        <v>0.02</v>
      </c>
      <c r="F436" s="98" t="n">
        <v>3</v>
      </c>
      <c r="G436" s="99" t="n">
        <v>23.83</v>
      </c>
    </row>
    <row r="437">
      <c r="C437" s="95" t="inlineStr">
        <is>
          <t>Sum Postes : 1.29</t>
        </is>
      </c>
      <c r="D437" s="101" t="inlineStr">
        <is>
          <t>8070469.0:SNOP VILLEPINTE - 0.0x0.0x1.2</t>
        </is>
      </c>
      <c r="E437" s="101" t="n">
        <v>1.27</v>
      </c>
      <c r="F437" s="101" t="n">
        <v>2.658</v>
      </c>
      <c r="G437" s="102" t="n">
        <v>0.28</v>
      </c>
    </row>
    <row r="438">
      <c r="C438" s="106" t="inlineStr">
        <is>
          <t>Average Productivity : 4.08</t>
        </is>
      </c>
      <c r="D438" s="104" t="n"/>
      <c r="E438" s="104" t="n"/>
      <c r="F438" s="104" t="n"/>
      <c r="G438" s="105" t="n"/>
    </row>
    <row r="442">
      <c r="C442" s="92" t="inlineStr">
        <is>
          <t>Details for : LASS1, serie - Postes Forecast W7</t>
        </is>
      </c>
      <c r="D442" s="93" t="inlineStr">
        <is>
          <t>Article : Client - Length x Width x Thickness</t>
        </is>
      </c>
      <c r="E442" s="93" t="inlineStr">
        <is>
          <t>Postes</t>
        </is>
      </c>
      <c r="F442" s="93" t="inlineStr">
        <is>
          <t>Tonnes</t>
        </is>
      </c>
      <c r="G442" s="94" t="inlineStr">
        <is>
          <t>Productivity</t>
        </is>
      </c>
    </row>
    <row r="443">
      <c r="C443" s="95" t="inlineStr">
        <is>
          <t>Sum Tonnes : 2.73</t>
        </is>
      </c>
      <c r="D443" s="98" t="inlineStr">
        <is>
          <t>8071005.0:SNOP VILLEPINTE - 0.0x0.0x1.8</t>
        </is>
      </c>
      <c r="E443" s="98" t="n">
        <v>0.83</v>
      </c>
      <c r="F443" s="98" t="n">
        <v>2.73</v>
      </c>
      <c r="G443" s="99" t="n">
        <v>0.44</v>
      </c>
    </row>
    <row r="444">
      <c r="C444" s="95" t="inlineStr">
        <is>
          <t>Sum Postes : 0.83</t>
        </is>
      </c>
      <c r="D444" s="96" t="n"/>
      <c r="E444" s="96" t="n"/>
      <c r="F444" s="96" t="n"/>
      <c r="G444" s="97" t="n"/>
    </row>
    <row r="445">
      <c r="C445" s="106" t="inlineStr">
        <is>
          <t>Average Productivity : 4.08</t>
        </is>
      </c>
      <c r="D445" s="104" t="n"/>
      <c r="E445" s="104" t="n"/>
      <c r="F445" s="104" t="n"/>
      <c r="G445" s="105" t="n"/>
    </row>
    <row r="449">
      <c r="C449" s="92" t="inlineStr">
        <is>
          <t>Details for : LASS1, proto - Postes Backlog</t>
        </is>
      </c>
      <c r="D449" s="93" t="inlineStr">
        <is>
          <t>Article : Client - Length x Width x Thickness</t>
        </is>
      </c>
      <c r="E449" s="93" t="inlineStr">
        <is>
          <t>Postes</t>
        </is>
      </c>
      <c r="F449" s="93" t="inlineStr">
        <is>
          <t>Tonnes</t>
        </is>
      </c>
      <c r="G449" s="94" t="inlineStr">
        <is>
          <t>Productivity</t>
        </is>
      </c>
    </row>
    <row r="450">
      <c r="C450" s="95" t="inlineStr">
        <is>
          <t>Sum Tonnes : 177.76</t>
        </is>
      </c>
      <c r="D450" s="96" t="inlineStr">
        <is>
          <t>8108438.0:FCA Italy S.p.A. - 0.0x0.0x0.65</t>
        </is>
      </c>
      <c r="E450" s="96" t="n">
        <v>0.35</v>
      </c>
      <c r="F450" s="96" t="n">
        <v>3.692</v>
      </c>
      <c r="G450" s="97" t="n">
        <v>1.39</v>
      </c>
    </row>
    <row r="451">
      <c r="C451" s="95" t="inlineStr">
        <is>
          <t>Sum Postes : 28.31</t>
        </is>
      </c>
      <c r="D451" s="96" t="inlineStr">
        <is>
          <t>8108481.0:FCA Italy S.p.A. - 0.0x0.0x0.65</t>
        </is>
      </c>
      <c r="E451" s="96" t="n">
        <v>0.19</v>
      </c>
      <c r="F451" s="96" t="n">
        <v>1.936</v>
      </c>
      <c r="G451" s="97" t="n">
        <v>1.39</v>
      </c>
    </row>
    <row r="452">
      <c r="C452" s="95" t="inlineStr">
        <is>
          <t>Average Productivity : 1.48</t>
        </is>
      </c>
      <c r="D452" s="96" t="inlineStr">
        <is>
          <t>8108483.0:FCA Italy S.p.A. - 0.0x0.0x0.65</t>
        </is>
      </c>
      <c r="E452" s="96" t="n">
        <v>0.19</v>
      </c>
      <c r="F452" s="96" t="n">
        <v>1.936</v>
      </c>
      <c r="G452" s="97" t="n">
        <v>1.39</v>
      </c>
    </row>
    <row r="453">
      <c r="C453" s="100" t="n"/>
      <c r="D453" s="101" t="inlineStr">
        <is>
          <t>8110469.0:ARCELORMITTAL PROTO FLORANGE - 0.0x0.0x0.65</t>
        </is>
      </c>
      <c r="E453" s="101" t="n">
        <v>0.01</v>
      </c>
      <c r="F453" s="101" t="n">
        <v>0.186</v>
      </c>
      <c r="G453" s="102" t="n">
        <v>4.87</v>
      </c>
    </row>
    <row r="454">
      <c r="C454" s="100" t="n"/>
      <c r="D454" s="96" t="inlineStr">
        <is>
          <t>8111938.0:ARCELORMITTAL PROTO FLORANGE - 0.0x0.0x2.5</t>
        </is>
      </c>
      <c r="E454" s="96" t="n">
        <v>0.43</v>
      </c>
      <c r="F454" s="96" t="n">
        <v>1.198</v>
      </c>
      <c r="G454" s="97" t="n">
        <v>0.37</v>
      </c>
    </row>
    <row r="455">
      <c r="C455" s="100" t="n"/>
      <c r="D455" s="96" t="inlineStr">
        <is>
          <t>8111081.0:ARCELORMITTAL PROTO FLORANGE - 0.0x0.0x1.2</t>
        </is>
      </c>
      <c r="E455" s="96" t="n">
        <v>0.85</v>
      </c>
      <c r="F455" s="96" t="n">
        <v>31.04</v>
      </c>
      <c r="G455" s="97" t="n">
        <v>4.87</v>
      </c>
    </row>
    <row r="456">
      <c r="C456" s="100" t="n"/>
      <c r="D456" s="96" t="inlineStr">
        <is>
          <t>8111083.0:ARCELORMITTAL PROTO FLORANGE - 0.0x0.0x1.2</t>
        </is>
      </c>
      <c r="E456" s="96" t="n">
        <v>0.85</v>
      </c>
      <c r="F456" s="96" t="n">
        <v>31.04</v>
      </c>
      <c r="G456" s="97" t="n">
        <v>4.87</v>
      </c>
    </row>
    <row r="457">
      <c r="C457" s="100" t="n"/>
      <c r="D457" s="96" t="inlineStr">
        <is>
          <t>8111137.0:ARCELORMITTAL PROTO FLORANGE - 0.0x0.0x1.2</t>
        </is>
      </c>
      <c r="E457" s="96" t="n">
        <v>7.65</v>
      </c>
      <c r="F457" s="96" t="n">
        <v>20.657</v>
      </c>
      <c r="G457" s="97" t="n">
        <v>0.36</v>
      </c>
    </row>
    <row r="458">
      <c r="C458" s="100" t="n"/>
      <c r="D458" s="98" t="inlineStr">
        <is>
          <t>8111149.0:ARCELORMITTAL PROTO FLORANGE - 0.0x0.0x1.2</t>
        </is>
      </c>
      <c r="E458" s="98" t="n">
        <v>1.18</v>
      </c>
      <c r="F458" s="98" t="n">
        <v>43.12</v>
      </c>
      <c r="G458" s="99" t="n">
        <v>4.87</v>
      </c>
    </row>
    <row r="459">
      <c r="C459" s="100" t="n"/>
      <c r="D459" s="96" t="inlineStr">
        <is>
          <t>8111189.0:ARCELORMITTAL PROTO FLORANGE - 0.0x0.0x2.0</t>
        </is>
      </c>
      <c r="E459" s="96" t="n">
        <v>5.75</v>
      </c>
      <c r="F459" s="96" t="n">
        <v>28.016</v>
      </c>
      <c r="G459" s="97" t="n">
        <v>0.65</v>
      </c>
    </row>
    <row r="460">
      <c r="C460" s="100" t="n"/>
      <c r="D460" s="96" t="inlineStr">
        <is>
          <t>8111697.0:ARCELORMITTAL PROTO FLORANGE - 0.0x0.0x0.75</t>
        </is>
      </c>
      <c r="E460" s="96" t="n">
        <v>4</v>
      </c>
      <c r="F460" s="96" t="n">
        <v>3.303</v>
      </c>
      <c r="G460" s="97" t="n">
        <v>0.11</v>
      </c>
    </row>
    <row r="461">
      <c r="C461" s="100" t="n"/>
      <c r="D461" s="96" t="inlineStr">
        <is>
          <t>8112146.0:ARCELORMITTAL PROTO FLORANGE - 0.0x0.0x0.75</t>
        </is>
      </c>
      <c r="E461" s="96" t="n">
        <v>1.44</v>
      </c>
      <c r="F461" s="96" t="n">
        <v>1.188</v>
      </c>
      <c r="G461" s="97" t="n">
        <v>0.11</v>
      </c>
    </row>
    <row r="462">
      <c r="C462" s="100" t="n"/>
      <c r="D462" s="96" t="inlineStr">
        <is>
          <t>8110619.0:ARCELORMITTAL PROTO FLORANGE - 0.0x0.0x1.25</t>
        </is>
      </c>
      <c r="E462" s="96" t="n">
        <v>0.9399999999999999</v>
      </c>
      <c r="F462" s="96" t="n">
        <v>3.04</v>
      </c>
      <c r="G462" s="97" t="n">
        <v>0.43</v>
      </c>
    </row>
    <row r="463">
      <c r="C463" s="100" t="n"/>
      <c r="D463" s="96" t="inlineStr">
        <is>
          <t>8110631.0:ARCELORMITTAL PROTO FLORANGE - 0.0x0.0x1.25</t>
        </is>
      </c>
      <c r="E463" s="96" t="n">
        <v>0.9399999999999999</v>
      </c>
      <c r="F463" s="96" t="n">
        <v>1.84</v>
      </c>
      <c r="G463" s="97" t="n">
        <v>0.26</v>
      </c>
    </row>
    <row r="464">
      <c r="C464" s="103" t="n"/>
      <c r="D464" s="104" t="inlineStr">
        <is>
          <t>8110654.0:ARCELORMITTAL PROTO FLORANGE - 0.0x0.0x1.5</t>
        </is>
      </c>
      <c r="E464" s="104" t="n">
        <v>3.54</v>
      </c>
      <c r="F464" s="104" t="n">
        <v>5.568</v>
      </c>
      <c r="G464" s="105" t="n">
        <v>0.21</v>
      </c>
    </row>
    <row r="468">
      <c r="C468" s="92" t="inlineStr">
        <is>
          <t>Details for : LASS1, proto - Postes Forecast W</t>
        </is>
      </c>
      <c r="D468" s="93" t="inlineStr">
        <is>
          <t>Article : Client - Length x Width x Thickness</t>
        </is>
      </c>
      <c r="E468" s="93" t="inlineStr">
        <is>
          <t>Postes</t>
        </is>
      </c>
      <c r="F468" s="93" t="inlineStr">
        <is>
          <t>Tonnes</t>
        </is>
      </c>
      <c r="G468" s="94" t="inlineStr">
        <is>
          <t>Productivity</t>
        </is>
      </c>
    </row>
    <row r="469">
      <c r="C469" s="95" t="inlineStr">
        <is>
          <t>Sum Tonnes : 20.51</t>
        </is>
      </c>
      <c r="D469" s="101" t="inlineStr">
        <is>
          <t>8113733.0:ARCELORMITTAL PROTO FLORANGE - 0.0x0.0x1.2</t>
        </is>
      </c>
      <c r="E469" s="101" t="n">
        <v>1.81</v>
      </c>
      <c r="F469" s="101" t="n">
        <v>1.2207</v>
      </c>
      <c r="G469" s="102" t="n">
        <v>0.09</v>
      </c>
    </row>
    <row r="470">
      <c r="C470" s="95" t="inlineStr">
        <is>
          <t>Sum Postes : 10.91</t>
        </is>
      </c>
      <c r="D470" s="96" t="inlineStr">
        <is>
          <t>8113735.0:ARCELORMITTAL PROTO FLORANGE - 0.0x0.0x1.2</t>
        </is>
      </c>
      <c r="E470" s="96" t="n">
        <v>1.21</v>
      </c>
      <c r="F470" s="96" t="n">
        <v>1.5405</v>
      </c>
      <c r="G470" s="97" t="n">
        <v>0.17</v>
      </c>
    </row>
    <row r="471">
      <c r="C471" s="106" t="inlineStr">
        <is>
          <t>Average Productivity : 1.48</t>
        </is>
      </c>
      <c r="D471" s="107" t="inlineStr">
        <is>
          <t>8113736.0:ARCELORMITTAL PROTO FLORANGE - 0.0x0.0x1.5</t>
        </is>
      </c>
      <c r="E471" s="107" t="n">
        <v>7.89</v>
      </c>
      <c r="F471" s="107" t="n">
        <v>17.745</v>
      </c>
      <c r="G471" s="108" t="n">
        <v>0.3</v>
      </c>
    </row>
    <row r="475">
      <c r="C475" s="92" t="inlineStr">
        <is>
          <t>Details for : P3 serie - Postes Backlog</t>
        </is>
      </c>
      <c r="D475" s="93" t="inlineStr">
        <is>
          <t>Article : Client - Length x Width x Thickness</t>
        </is>
      </c>
      <c r="E475" s="93" t="inlineStr">
        <is>
          <t>Postes</t>
        </is>
      </c>
      <c r="F475" s="93" t="inlineStr">
        <is>
          <t>Tonnes</t>
        </is>
      </c>
      <c r="G475" s="94" t="inlineStr">
        <is>
          <t>Productivity</t>
        </is>
      </c>
    </row>
    <row r="476">
      <c r="C476" s="95" t="inlineStr">
        <is>
          <t>Sum Tonnes : 30.29</t>
        </is>
      </c>
      <c r="D476" s="98" t="inlineStr">
        <is>
          <t>8019847.0:ADAM OPEL GMBH - 295.0x620.0x3.8</t>
        </is>
      </c>
      <c r="E476" s="98" t="n">
        <v>1.29</v>
      </c>
      <c r="F476" s="98" t="n">
        <v>30.29454</v>
      </c>
      <c r="G476" s="99" t="n">
        <v>3.12</v>
      </c>
    </row>
    <row r="477">
      <c r="C477" s="95" t="inlineStr">
        <is>
          <t>Sum Postes : 1.29</t>
        </is>
      </c>
      <c r="D477" s="96" t="n"/>
      <c r="E477" s="96" t="n"/>
      <c r="F477" s="96" t="n"/>
      <c r="G477" s="97" t="n"/>
    </row>
    <row r="478">
      <c r="C478" s="106" t="inlineStr">
        <is>
          <t>Average Productivity : 2.06</t>
        </is>
      </c>
      <c r="D478" s="104" t="n"/>
      <c r="E478" s="104" t="n"/>
      <c r="F478" s="104" t="n"/>
      <c r="G478" s="105" t="n"/>
    </row>
    <row r="482">
      <c r="C482" s="92" t="inlineStr">
        <is>
          <t>Details for : P3 serie - Postes Forecast W</t>
        </is>
      </c>
      <c r="D482" s="93" t="inlineStr">
        <is>
          <t>Article : Client - Length x Width x Thickness</t>
        </is>
      </c>
      <c r="E482" s="93" t="inlineStr">
        <is>
          <t>Postes</t>
        </is>
      </c>
      <c r="F482" s="93" t="inlineStr">
        <is>
          <t>Tonnes</t>
        </is>
      </c>
      <c r="G482" s="94" t="inlineStr">
        <is>
          <t>Productivity</t>
        </is>
      </c>
    </row>
    <row r="483">
      <c r="C483" s="95" t="inlineStr">
        <is>
          <t>Sum Tonnes : 138.57</t>
        </is>
      </c>
      <c r="D483" s="96" t="inlineStr">
        <is>
          <t>8012585.0:RENAULT SAS - 237.0x1131.0x5.5</t>
        </is>
      </c>
      <c r="E483" s="96" t="n">
        <v>0.91</v>
      </c>
      <c r="F483" s="96" t="n">
        <v>27.05976</v>
      </c>
      <c r="G483" s="97" t="n">
        <v>3.96</v>
      </c>
    </row>
    <row r="484">
      <c r="C484" s="95" t="inlineStr">
        <is>
          <t>Sum Postes : 8.72</t>
        </is>
      </c>
      <c r="D484" s="96" t="inlineStr">
        <is>
          <t>8012600.0:TOYOTA TSUSHO EUROPE S.A. - 156.0x780.0x1.2</t>
        </is>
      </c>
      <c r="E484" s="96" t="n">
        <v>1.75</v>
      </c>
      <c r="F484" s="96" t="n">
        <v>21.831</v>
      </c>
      <c r="G484" s="97" t="n">
        <v>1.66</v>
      </c>
    </row>
    <row r="485">
      <c r="C485" s="95" t="inlineStr">
        <is>
          <t>Average Productivity : 2.06</t>
        </is>
      </c>
      <c r="D485" s="96" t="inlineStr">
        <is>
          <t>8019847.0:ADAM OPEL GMBH - 295.0x620.0x3.8</t>
        </is>
      </c>
      <c r="E485" s="96" t="n">
        <v>1.24</v>
      </c>
      <c r="F485" s="96" t="n">
        <v>29.00016</v>
      </c>
      <c r="G485" s="97" t="n">
        <v>3.12</v>
      </c>
    </row>
    <row r="486">
      <c r="C486" s="100" t="n"/>
      <c r="D486" s="98" t="inlineStr">
        <is>
          <t>8031950.0:PEUGEOT CITROEN AUTOMOBILES SA - 845.0x306.0x1.3</t>
        </is>
      </c>
      <c r="E486" s="98" t="n">
        <v>3.53</v>
      </c>
      <c r="F486" s="98" t="n">
        <v>44.8056</v>
      </c>
      <c r="G486" s="99" t="n">
        <v>1.69</v>
      </c>
    </row>
    <row r="487">
      <c r="C487" s="100" t="n"/>
      <c r="D487" s="96" t="inlineStr">
        <is>
          <t>8068756.0:PEUGEOT CITROEN AUTOMOBILES SA - 232.0x775.0x1.0</t>
        </is>
      </c>
      <c r="E487" s="96" t="n">
        <v>0.84</v>
      </c>
      <c r="F487" s="96" t="n">
        <v>9.7812</v>
      </c>
      <c r="G487" s="97" t="n">
        <v>1.55</v>
      </c>
    </row>
    <row r="488">
      <c r="C488" s="103" t="n"/>
      <c r="D488" s="109" t="inlineStr">
        <is>
          <t>8106084.0:PEUGEOT CITROEN AUTOMOBILES SA - 240.0x884.0x0.9</t>
        </is>
      </c>
      <c r="E488" s="109" t="n">
        <v>0.45</v>
      </c>
      <c r="F488" s="109" t="n">
        <v>6.088</v>
      </c>
      <c r="G488" s="110" t="n">
        <v>1.81</v>
      </c>
    </row>
    <row r="492">
      <c r="C492" s="92" t="inlineStr">
        <is>
          <t>Details for : P3 serie - Postes Forecast W1</t>
        </is>
      </c>
      <c r="D492" s="93" t="inlineStr">
        <is>
          <t>Article : Client - Length x Width x Thickness</t>
        </is>
      </c>
      <c r="E492" s="93" t="inlineStr">
        <is>
          <t>Postes</t>
        </is>
      </c>
      <c r="F492" s="93" t="inlineStr">
        <is>
          <t>Tonnes</t>
        </is>
      </c>
      <c r="G492" s="94" t="inlineStr">
        <is>
          <t>Productivity</t>
        </is>
      </c>
    </row>
    <row r="493">
      <c r="C493" s="95" t="inlineStr">
        <is>
          <t>Sum Tonnes : 68.46</t>
        </is>
      </c>
      <c r="D493" s="101" t="inlineStr">
        <is>
          <t>8033732.0:DE BUYER INDUSTRIES  SA - 534.0x329.0x1.2</t>
        </is>
      </c>
      <c r="E493" s="101" t="n">
        <v>0.63</v>
      </c>
      <c r="F493" s="101" t="n">
        <v>4</v>
      </c>
      <c r="G493" s="102" t="n">
        <v>0.84</v>
      </c>
    </row>
    <row r="494">
      <c r="C494" s="95" t="inlineStr">
        <is>
          <t>Sum Postes : 4.79</t>
        </is>
      </c>
      <c r="D494" s="96" t="inlineStr">
        <is>
          <t>8012559.0:GESTAMP LE THEIL - 265.5x950.0x5.0</t>
        </is>
      </c>
      <c r="E494" s="96" t="n">
        <v>0.36</v>
      </c>
      <c r="F494" s="96" t="n">
        <v>7.9392</v>
      </c>
      <c r="G494" s="97" t="n">
        <v>2.98</v>
      </c>
    </row>
    <row r="495">
      <c r="C495" s="95" t="inlineStr">
        <is>
          <t>Average Productivity : 2.06</t>
        </is>
      </c>
      <c r="D495" s="96" t="inlineStr">
        <is>
          <t>8019847.0:ADAM OPEL GMBH - 295.0x620.0x3.8</t>
        </is>
      </c>
      <c r="E495" s="96" t="n">
        <v>0.83</v>
      </c>
      <c r="F495" s="96" t="n">
        <v>19.33344</v>
      </c>
      <c r="G495" s="97" t="n">
        <v>3.12</v>
      </c>
    </row>
    <row r="496">
      <c r="C496" s="100" t="n"/>
      <c r="D496" s="98" t="inlineStr">
        <is>
          <t>8031950.0:PEUGEOT CITROEN AUTOMOBILES SA - 845.0x306.0x1.3</t>
        </is>
      </c>
      <c r="E496" s="98" t="n">
        <v>1.77</v>
      </c>
      <c r="F496" s="98" t="n">
        <v>22.4028</v>
      </c>
      <c r="G496" s="99" t="n">
        <v>1.69</v>
      </c>
    </row>
    <row r="497">
      <c r="C497" s="100" t="n"/>
      <c r="D497" s="96" t="inlineStr">
        <is>
          <t>8068756.0:PEUGEOT CITROEN AUTOMOBILES SA - 232.0x775.0x1.0</t>
        </is>
      </c>
      <c r="E497" s="96" t="n">
        <v>0.75</v>
      </c>
      <c r="F497" s="96" t="n">
        <v>8.6944</v>
      </c>
      <c r="G497" s="97" t="n">
        <v>1.55</v>
      </c>
    </row>
    <row r="498">
      <c r="C498" s="103" t="n"/>
      <c r="D498" s="104" t="inlineStr">
        <is>
          <t>8106084.0:PEUGEOT CITROEN AUTOMOBILES SA - 240.0x884.0x0.9</t>
        </is>
      </c>
      <c r="E498" s="104" t="n">
        <v>0.45</v>
      </c>
      <c r="F498" s="104" t="n">
        <v>6.088</v>
      </c>
      <c r="G498" s="105" t="n">
        <v>1.81</v>
      </c>
    </row>
    <row r="502">
      <c r="C502" s="92" t="inlineStr">
        <is>
          <t>Details for : P3 serie - Postes Forecast W2</t>
        </is>
      </c>
      <c r="D502" s="93" t="inlineStr">
        <is>
          <t>Article : Client - Length x Width x Thickness</t>
        </is>
      </c>
      <c r="E502" s="93" t="inlineStr">
        <is>
          <t>Postes</t>
        </is>
      </c>
      <c r="F502" s="93" t="inlineStr">
        <is>
          <t>Tonnes</t>
        </is>
      </c>
      <c r="G502" s="94" t="inlineStr">
        <is>
          <t>Productivity</t>
        </is>
      </c>
    </row>
    <row r="503">
      <c r="C503" s="95" t="inlineStr">
        <is>
          <t>Sum Tonnes : 170.78</t>
        </is>
      </c>
      <c r="D503" s="96" t="inlineStr">
        <is>
          <t>8012600.0:TOYOTA TSUSHO EUROPE S.A. - 156.0x780.0x1.2</t>
        </is>
      </c>
      <c r="E503" s="96" t="n">
        <v>1.75</v>
      </c>
      <c r="F503" s="96" t="n">
        <v>21.831</v>
      </c>
      <c r="G503" s="97" t="n">
        <v>1.66</v>
      </c>
    </row>
    <row r="504">
      <c r="C504" s="95" t="inlineStr">
        <is>
          <t>Sum Postes : 13.09</t>
        </is>
      </c>
      <c r="D504" s="96" t="inlineStr">
        <is>
          <t>8019847.0:ADAM OPEL GMBH - 295.0x620.0x3.8</t>
        </is>
      </c>
      <c r="E504" s="96" t="n">
        <v>0.83</v>
      </c>
      <c r="F504" s="96" t="n">
        <v>19.33344</v>
      </c>
      <c r="G504" s="97" t="n">
        <v>3.12</v>
      </c>
    </row>
    <row r="505">
      <c r="C505" s="95" t="inlineStr">
        <is>
          <t>Average Productivity : 2.06</t>
        </is>
      </c>
      <c r="D505" s="96" t="inlineStr">
        <is>
          <t>8042687.0:OTIS SCS - 1370.0x750.0x4.0</t>
        </is>
      </c>
      <c r="E505" s="96" t="n">
        <v>0.34</v>
      </c>
      <c r="F505" s="96" t="n">
        <v>4.52676</v>
      </c>
      <c r="G505" s="97" t="n">
        <v>1.8</v>
      </c>
    </row>
    <row r="506">
      <c r="C506" s="100" t="n"/>
      <c r="D506" s="98" t="inlineStr">
        <is>
          <t>8031950.0:PEUGEOT CITROEN AUTOMOBILES SA - 845.0x306.0x1.3</t>
        </is>
      </c>
      <c r="E506" s="98" t="n">
        <v>5.3</v>
      </c>
      <c r="F506" s="98" t="n">
        <v>67.2084</v>
      </c>
      <c r="G506" s="99" t="n">
        <v>1.69</v>
      </c>
    </row>
    <row r="507">
      <c r="C507" s="100" t="n"/>
      <c r="D507" s="96" t="inlineStr">
        <is>
          <t>8057290.0:F2J STAMPING BESSINES - 570.0x460.0x3.5</t>
        </is>
      </c>
      <c r="E507" s="96" t="n">
        <v>0.28</v>
      </c>
      <c r="F507" s="96" t="n">
        <v>13</v>
      </c>
      <c r="G507" s="97" t="n">
        <v>6.13</v>
      </c>
    </row>
    <row r="508">
      <c r="C508" s="100" t="n"/>
      <c r="D508" s="96" t="inlineStr">
        <is>
          <t>8058121.0:F2J STAMPING BESSINES - 500.0x390.0x3.5</t>
        </is>
      </c>
      <c r="E508" s="96" t="n">
        <v>0.78</v>
      </c>
      <c r="F508" s="96" t="n">
        <v>8</v>
      </c>
      <c r="G508" s="97" t="n">
        <v>1.36</v>
      </c>
    </row>
    <row r="509">
      <c r="C509" s="100" t="n"/>
      <c r="D509" s="96" t="inlineStr">
        <is>
          <t>8068756.0:PEUGEOT CITROEN AUTOMOBILES SA - 232.0x775.0x1.0</t>
        </is>
      </c>
      <c r="E509" s="96" t="n">
        <v>1.89</v>
      </c>
      <c r="F509" s="96" t="n">
        <v>22.0077</v>
      </c>
      <c r="G509" s="97" t="n">
        <v>1.55</v>
      </c>
    </row>
    <row r="510">
      <c r="C510" s="100" t="n"/>
      <c r="D510" s="101" t="inlineStr">
        <is>
          <t>8068567.0:F2J STAMPING BESSINES - 190.0x350.0x3.5</t>
        </is>
      </c>
      <c r="E510" s="101" t="n">
        <v>1.05</v>
      </c>
      <c r="F510" s="101" t="n">
        <v>3</v>
      </c>
      <c r="G510" s="102" t="n">
        <v>0.38</v>
      </c>
    </row>
    <row r="511">
      <c r="C511" s="103" t="n"/>
      <c r="D511" s="104" t="inlineStr">
        <is>
          <t>8106084.0:PEUGEOT CITROEN AUTOMOBILES SA - 240.0x884.0x0.9</t>
        </is>
      </c>
      <c r="E511" s="104" t="n">
        <v>0.87</v>
      </c>
      <c r="F511" s="104" t="n">
        <v>11.8716</v>
      </c>
      <c r="G511" s="105" t="n">
        <v>1.81</v>
      </c>
    </row>
    <row r="515">
      <c r="C515" s="92" t="inlineStr">
        <is>
          <t>Details for : P3 serie - Postes Forecast W3</t>
        </is>
      </c>
      <c r="D515" s="93" t="inlineStr">
        <is>
          <t>Article : Client - Length x Width x Thickness</t>
        </is>
      </c>
      <c r="E515" s="93" t="inlineStr">
        <is>
          <t>Postes</t>
        </is>
      </c>
      <c r="F515" s="93" t="inlineStr">
        <is>
          <t>Tonnes</t>
        </is>
      </c>
      <c r="G515" s="94" t="inlineStr">
        <is>
          <t>Productivity</t>
        </is>
      </c>
    </row>
    <row r="516">
      <c r="C516" s="95" t="inlineStr">
        <is>
          <t>Sum Tonnes : 120.42</t>
        </is>
      </c>
      <c r="D516" s="96" t="inlineStr">
        <is>
          <t>8019847.0:ADAM OPEL GMBH - 295.0x620.0x3.8</t>
        </is>
      </c>
      <c r="E516" s="96" t="n">
        <v>0.83</v>
      </c>
      <c r="F516" s="96" t="n">
        <v>19.33344</v>
      </c>
      <c r="G516" s="97" t="n">
        <v>3.12</v>
      </c>
    </row>
    <row r="517">
      <c r="C517" s="95" t="inlineStr">
        <is>
          <t>Sum Postes : 8.89</t>
        </is>
      </c>
      <c r="D517" s="98" t="inlineStr">
        <is>
          <t>8031950.0:PEUGEOT CITROEN AUTOMOBILES SA - 845.0x306.0x1.3</t>
        </is>
      </c>
      <c r="E517" s="98" t="n">
        <v>5.3</v>
      </c>
      <c r="F517" s="98" t="n">
        <v>67.2084</v>
      </c>
      <c r="G517" s="99" t="n">
        <v>1.69</v>
      </c>
    </row>
    <row r="518">
      <c r="C518" s="95" t="inlineStr">
        <is>
          <t>Average Productivity : 2.06</t>
        </is>
      </c>
      <c r="D518" s="96" t="inlineStr">
        <is>
          <t>8068756.0:PEUGEOT CITROEN AUTOMOBILES SA - 232.0x775.0x1.0</t>
        </is>
      </c>
      <c r="E518" s="96" t="n">
        <v>1.89</v>
      </c>
      <c r="F518" s="96" t="n">
        <v>22.0077</v>
      </c>
      <c r="G518" s="97" t="n">
        <v>1.55</v>
      </c>
    </row>
    <row r="519">
      <c r="C519" s="103" t="n"/>
      <c r="D519" s="109" t="inlineStr">
        <is>
          <t>8106084.0:PEUGEOT CITROEN AUTOMOBILES SA - 240.0x884.0x0.9</t>
        </is>
      </c>
      <c r="E519" s="109" t="n">
        <v>0.87</v>
      </c>
      <c r="F519" s="109" t="n">
        <v>11.8716</v>
      </c>
      <c r="G519" s="110" t="n">
        <v>1.81</v>
      </c>
    </row>
    <row r="523">
      <c r="C523" s="92" t="inlineStr">
        <is>
          <t>Details for : P3 serie - Postes Forecast W4</t>
        </is>
      </c>
      <c r="D523" s="93" t="inlineStr">
        <is>
          <t>Article : Client - Length x Width x Thickness</t>
        </is>
      </c>
      <c r="E523" s="93" t="inlineStr">
        <is>
          <t>Postes</t>
        </is>
      </c>
      <c r="F523" s="93" t="inlineStr">
        <is>
          <t>Tonnes</t>
        </is>
      </c>
      <c r="G523" s="94" t="inlineStr">
        <is>
          <t>Productivity</t>
        </is>
      </c>
    </row>
    <row r="524">
      <c r="C524" s="95" t="inlineStr">
        <is>
          <t>Sum Tonnes : 120.42</t>
        </is>
      </c>
      <c r="D524" s="96" t="inlineStr">
        <is>
          <t>8019847.0:ADAM OPEL GMBH - 295.0x620.0x3.8</t>
        </is>
      </c>
      <c r="E524" s="96" t="n">
        <v>0.83</v>
      </c>
      <c r="F524" s="96" t="n">
        <v>19.33344</v>
      </c>
      <c r="G524" s="97" t="n">
        <v>3.12</v>
      </c>
    </row>
    <row r="525">
      <c r="C525" s="95" t="inlineStr">
        <is>
          <t>Sum Postes : 8.89</t>
        </is>
      </c>
      <c r="D525" s="98" t="inlineStr">
        <is>
          <t>8031950.0:PEUGEOT CITROEN AUTOMOBILES SA - 845.0x306.0x1.3</t>
        </is>
      </c>
      <c r="E525" s="98" t="n">
        <v>5.3</v>
      </c>
      <c r="F525" s="98" t="n">
        <v>67.2084</v>
      </c>
      <c r="G525" s="99" t="n">
        <v>1.69</v>
      </c>
    </row>
    <row r="526">
      <c r="C526" s="95" t="inlineStr">
        <is>
          <t>Average Productivity : 2.06</t>
        </is>
      </c>
      <c r="D526" s="96" t="inlineStr">
        <is>
          <t>8068756.0:PEUGEOT CITROEN AUTOMOBILES SA - 232.0x775.0x1.0</t>
        </is>
      </c>
      <c r="E526" s="96" t="n">
        <v>1.89</v>
      </c>
      <c r="F526" s="96" t="n">
        <v>22.0077</v>
      </c>
      <c r="G526" s="97" t="n">
        <v>1.55</v>
      </c>
    </row>
    <row r="527">
      <c r="C527" s="103" t="n"/>
      <c r="D527" s="109" t="inlineStr">
        <is>
          <t>8106084.0:PEUGEOT CITROEN AUTOMOBILES SA - 240.0x884.0x0.9</t>
        </is>
      </c>
      <c r="E527" s="109" t="n">
        <v>0.87</v>
      </c>
      <c r="F527" s="109" t="n">
        <v>11.8716</v>
      </c>
      <c r="G527" s="110" t="n">
        <v>1.81</v>
      </c>
    </row>
    <row r="531">
      <c r="C531" s="92" t="inlineStr">
        <is>
          <t>Details for : P3 serie - Postes Forecast W5</t>
        </is>
      </c>
      <c r="D531" s="93" t="inlineStr">
        <is>
          <t>Article : Client - Length x Width x Thickness</t>
        </is>
      </c>
      <c r="E531" s="93" t="inlineStr">
        <is>
          <t>Postes</t>
        </is>
      </c>
      <c r="F531" s="93" t="inlineStr">
        <is>
          <t>Tonnes</t>
        </is>
      </c>
      <c r="G531" s="94" t="inlineStr">
        <is>
          <t>Productivity</t>
        </is>
      </c>
    </row>
    <row r="532">
      <c r="C532" s="95" t="inlineStr">
        <is>
          <t>Sum Tonnes : 179.58</t>
        </is>
      </c>
      <c r="D532" s="101" t="inlineStr">
        <is>
          <t>8012614.0:DAF TRUCKS NV - 1550.0x300.0x2.5</t>
        </is>
      </c>
      <c r="E532" s="101" t="n">
        <v>0.26</v>
      </c>
      <c r="F532" s="101" t="n">
        <v>2.04422</v>
      </c>
      <c r="G532" s="102" t="n">
        <v>1.06</v>
      </c>
    </row>
    <row r="533">
      <c r="C533" s="95" t="inlineStr">
        <is>
          <t>Sum Postes : 12.02</t>
        </is>
      </c>
      <c r="D533" s="96" t="inlineStr">
        <is>
          <t>8012585.0:RENAULT SAS - 237.0x1131.0x5.5</t>
        </is>
      </c>
      <c r="E533" s="96" t="n">
        <v>1.82</v>
      </c>
      <c r="F533" s="96" t="n">
        <v>54.11952</v>
      </c>
      <c r="G533" s="97" t="n">
        <v>3.96</v>
      </c>
    </row>
    <row r="534">
      <c r="C534" s="95" t="inlineStr">
        <is>
          <t>Average Productivity : 2.06</t>
        </is>
      </c>
      <c r="D534" s="96" t="inlineStr">
        <is>
          <t>8019847.0:ADAM OPEL GMBH - 295.0x620.0x3.8</t>
        </is>
      </c>
      <c r="E534" s="96" t="n">
        <v>0.83</v>
      </c>
      <c r="F534" s="96" t="n">
        <v>19.33344</v>
      </c>
      <c r="G534" s="97" t="n">
        <v>3.12</v>
      </c>
    </row>
    <row r="535">
      <c r="C535" s="100" t="n"/>
      <c r="D535" s="98" t="inlineStr">
        <is>
          <t>8031950.0:PEUGEOT CITROEN AUTOMOBILES SA - 845.0x306.0x1.3</t>
        </is>
      </c>
      <c r="E535" s="98" t="n">
        <v>5.3</v>
      </c>
      <c r="F535" s="98" t="n">
        <v>67.2084</v>
      </c>
      <c r="G535" s="99" t="n">
        <v>1.69</v>
      </c>
    </row>
    <row r="536">
      <c r="C536" s="100" t="n"/>
      <c r="D536" s="96" t="inlineStr">
        <is>
          <t>8068756.0:PEUGEOT CITROEN AUTOMOBILES SA - 232.0x775.0x1.0</t>
        </is>
      </c>
      <c r="E536" s="96" t="n">
        <v>1.89</v>
      </c>
      <c r="F536" s="96" t="n">
        <v>22.0077</v>
      </c>
      <c r="G536" s="97" t="n">
        <v>1.55</v>
      </c>
    </row>
    <row r="537">
      <c r="C537" s="100" t="n"/>
      <c r="D537" s="96" t="inlineStr">
        <is>
          <t>8068567.0:F2J STAMPING BESSINES - 190.0x350.0x3.5</t>
        </is>
      </c>
      <c r="E537" s="96" t="n">
        <v>1.05</v>
      </c>
      <c r="F537" s="96" t="n">
        <v>3</v>
      </c>
      <c r="G537" s="97" t="n">
        <v>0.38</v>
      </c>
    </row>
    <row r="538">
      <c r="C538" s="103" t="n"/>
      <c r="D538" s="104" t="inlineStr">
        <is>
          <t>8106084.0:PEUGEOT CITROEN AUTOMOBILES SA - 240.0x884.0x0.9</t>
        </is>
      </c>
      <c r="E538" s="104" t="n">
        <v>0.87</v>
      </c>
      <c r="F538" s="104" t="n">
        <v>11.8716</v>
      </c>
      <c r="G538" s="105" t="n">
        <v>1.81</v>
      </c>
    </row>
    <row r="542">
      <c r="C542" s="92" t="inlineStr">
        <is>
          <t>Details for : P3 serie - Postes Forecast W6</t>
        </is>
      </c>
      <c r="D542" s="93" t="inlineStr">
        <is>
          <t>Article : Client - Length x Width x Thickness</t>
        </is>
      </c>
      <c r="E542" s="93" t="inlineStr">
        <is>
          <t>Postes</t>
        </is>
      </c>
      <c r="F542" s="93" t="inlineStr">
        <is>
          <t>Tonnes</t>
        </is>
      </c>
      <c r="G542" s="94" t="inlineStr">
        <is>
          <t>Productivity</t>
        </is>
      </c>
    </row>
    <row r="543">
      <c r="C543" s="95" t="inlineStr">
        <is>
          <t>Sum Tonnes : 30.83</t>
        </is>
      </c>
      <c r="D543" s="96" t="inlineStr">
        <is>
          <t>8033731.0:DE BUYER INDUSTRIES  SA - 600.0x400.0x1.2</t>
        </is>
      </c>
      <c r="E543" s="96" t="n">
        <v>0.4</v>
      </c>
      <c r="F543" s="96" t="n">
        <v>5</v>
      </c>
      <c r="G543" s="97" t="n">
        <v>1.65</v>
      </c>
    </row>
    <row r="544">
      <c r="C544" s="95" t="inlineStr">
        <is>
          <t>Sum Postes : 2.78</t>
        </is>
      </c>
      <c r="D544" s="101" t="inlineStr">
        <is>
          <t>8033732.0:DE BUYER INDUSTRIES  SA - 534.0x329.0x1.2</t>
        </is>
      </c>
      <c r="E544" s="101" t="n">
        <v>0.63</v>
      </c>
      <c r="F544" s="101" t="n">
        <v>4</v>
      </c>
      <c r="G544" s="102" t="n">
        <v>0.84</v>
      </c>
    </row>
    <row r="545">
      <c r="C545" s="106" t="inlineStr">
        <is>
          <t>Average Productivity : 2.06</t>
        </is>
      </c>
      <c r="D545" s="107" t="inlineStr">
        <is>
          <t>8012600.0:TOYOTA TSUSHO EUROPE S.A. - 156.0x780.0x1.2</t>
        </is>
      </c>
      <c r="E545" s="107" t="n">
        <v>1.75</v>
      </c>
      <c r="F545" s="107" t="n">
        <v>21.831</v>
      </c>
      <c r="G545" s="108" t="n">
        <v>1.66</v>
      </c>
    </row>
    <row r="549">
      <c r="C549" s="92" t="inlineStr">
        <is>
          <t>Details for : P3 serie - Postes Forecast W7</t>
        </is>
      </c>
      <c r="D549" s="93" t="inlineStr">
        <is>
          <t>Article : Client - Length x Width x Thickness</t>
        </is>
      </c>
      <c r="E549" s="93" t="inlineStr">
        <is>
          <t>Postes</t>
        </is>
      </c>
      <c r="F549" s="93" t="inlineStr">
        <is>
          <t>Tonnes</t>
        </is>
      </c>
      <c r="G549" s="94" t="inlineStr">
        <is>
          <t>Productivity</t>
        </is>
      </c>
    </row>
    <row r="550">
      <c r="C550" s="95" t="inlineStr">
        <is>
          <t>Sum Tonnes : 23.86</t>
        </is>
      </c>
      <c r="D550" s="98" t="inlineStr">
        <is>
          <t>8019847.0:ADAM OPEL GMBH - 295.0x620.0x3.8</t>
        </is>
      </c>
      <c r="E550" s="98" t="n">
        <v>0.83</v>
      </c>
      <c r="F550" s="98" t="n">
        <v>19.33344</v>
      </c>
      <c r="G550" s="99" t="n">
        <v>3.12</v>
      </c>
    </row>
    <row r="551">
      <c r="C551" s="95" t="inlineStr">
        <is>
          <t>Sum Postes : 1.17</t>
        </is>
      </c>
      <c r="D551" s="101" t="inlineStr">
        <is>
          <t>8042687.0:OTIS SCS - 1370.0x750.0x4.0</t>
        </is>
      </c>
      <c r="E551" s="101" t="n">
        <v>0.34</v>
      </c>
      <c r="F551" s="101" t="n">
        <v>4.52676</v>
      </c>
      <c r="G551" s="102" t="n">
        <v>1.8</v>
      </c>
    </row>
    <row r="552">
      <c r="C552" s="106" t="inlineStr">
        <is>
          <t>Average Productivity : 2.06</t>
        </is>
      </c>
      <c r="D552" s="104" t="n"/>
      <c r="E552" s="104" t="n"/>
      <c r="F552" s="104" t="n"/>
      <c r="G552" s="105" t="n"/>
    </row>
    <row r="556">
      <c r="C556" s="92" t="inlineStr">
        <is>
          <t>Details for : P3 serie - Postes Forecast W8</t>
        </is>
      </c>
      <c r="D556" s="93" t="inlineStr">
        <is>
          <t>Article : Client - Length x Width x Thickness</t>
        </is>
      </c>
      <c r="E556" s="93" t="inlineStr">
        <is>
          <t>Postes</t>
        </is>
      </c>
      <c r="F556" s="93" t="inlineStr">
        <is>
          <t>Tonnes</t>
        </is>
      </c>
      <c r="G556" s="94" t="inlineStr">
        <is>
          <t>Productivity</t>
        </is>
      </c>
    </row>
    <row r="557">
      <c r="C557" s="95" t="inlineStr">
        <is>
          <t>Sum Tonnes : 30.27</t>
        </is>
      </c>
      <c r="D557" s="96" t="inlineStr">
        <is>
          <t>8012559.0:GESTAMP LE THEIL - 265.5x950.0x5.0</t>
        </is>
      </c>
      <c r="E557" s="96" t="n">
        <v>0.36</v>
      </c>
      <c r="F557" s="96" t="n">
        <v>7.9392</v>
      </c>
      <c r="G557" s="97" t="n">
        <v>2.98</v>
      </c>
    </row>
    <row r="558">
      <c r="C558" s="95" t="inlineStr">
        <is>
          <t>Sum Postes : 2.24</t>
        </is>
      </c>
      <c r="D558" s="98" t="inlineStr">
        <is>
          <t>8019847.0:ADAM OPEL GMBH - 295.0x620.0x3.8</t>
        </is>
      </c>
      <c r="E558" s="98" t="n">
        <v>0.83</v>
      </c>
      <c r="F558" s="98" t="n">
        <v>19.33344</v>
      </c>
      <c r="G558" s="99" t="n">
        <v>3.12</v>
      </c>
    </row>
    <row r="559">
      <c r="C559" s="106" t="inlineStr">
        <is>
          <t>Average Productivity : 2.06</t>
        </is>
      </c>
      <c r="D559" s="109" t="inlineStr">
        <is>
          <t>8068567.0:F2J STAMPING BESSINES - 190.0x350.0x3.5</t>
        </is>
      </c>
      <c r="E559" s="109" t="n">
        <v>1.05</v>
      </c>
      <c r="F559" s="109" t="n">
        <v>3</v>
      </c>
      <c r="G559" s="110" t="n">
        <v>0.38</v>
      </c>
    </row>
    <row r="563">
      <c r="C563" s="92" t="inlineStr">
        <is>
          <t>Details for : P3 proto - Postes Backlog</t>
        </is>
      </c>
      <c r="D563" s="93" t="inlineStr">
        <is>
          <t>Article : Client - Length x Width x Thickness</t>
        </is>
      </c>
      <c r="E563" s="93" t="inlineStr">
        <is>
          <t>Postes</t>
        </is>
      </c>
      <c r="F563" s="93" t="inlineStr">
        <is>
          <t>Tonnes</t>
        </is>
      </c>
      <c r="G563" s="94" t="inlineStr">
        <is>
          <t>Productivity</t>
        </is>
      </c>
    </row>
    <row r="564">
      <c r="C564" s="95" t="inlineStr">
        <is>
          <t>Sum Tonnes : 38.17</t>
        </is>
      </c>
      <c r="D564" s="96" t="inlineStr">
        <is>
          <t>8032078.0:ARCELORMITTAL PROTO FLORANGE - 0.0x0.0x0.85</t>
        </is>
      </c>
      <c r="E564" s="96" t="n">
        <v>0.05</v>
      </c>
      <c r="F564" s="96" t="n">
        <v>1.76236</v>
      </c>
      <c r="G564" s="97" t="n">
        <v>4.87</v>
      </c>
    </row>
    <row r="565">
      <c r="C565" s="95" t="inlineStr">
        <is>
          <t>Sum Postes : 2.86</t>
        </is>
      </c>
      <c r="D565" s="96" t="inlineStr">
        <is>
          <t>8032089.0:ARCELORMITTAL PROTO FLORANGE - 0.0x0.0x0.85</t>
        </is>
      </c>
      <c r="E565" s="96" t="n">
        <v>0.05</v>
      </c>
      <c r="F565" s="96" t="n">
        <v>1.83</v>
      </c>
      <c r="G565" s="97" t="n">
        <v>4.87</v>
      </c>
    </row>
    <row r="566">
      <c r="C566" s="95" t="inlineStr">
        <is>
          <t>Average Productivity : 2.84</t>
        </is>
      </c>
      <c r="D566" s="96" t="inlineStr">
        <is>
          <t>8090786.0:ARCELORMITTAL PROTO FLORANGE - 2000.0x1200.0x2.5</t>
        </is>
      </c>
      <c r="E566" s="96" t="n">
        <v>0.3</v>
      </c>
      <c r="F566" s="96" t="n">
        <v>4.7527</v>
      </c>
      <c r="G566" s="97" t="n">
        <v>2.1</v>
      </c>
    </row>
    <row r="567">
      <c r="C567" s="100" t="n"/>
      <c r="D567" s="96" t="inlineStr">
        <is>
          <t>8107645.0:ARCELORMITTAL PROTO FLORANGE - 1000.0x1174.0x2.61</t>
        </is>
      </c>
      <c r="E567" s="96" t="n">
        <v>0.27</v>
      </c>
      <c r="F567" s="96" t="n">
        <v>2.1942</v>
      </c>
      <c r="G567" s="97" t="n">
        <v>1.09</v>
      </c>
    </row>
    <row r="568">
      <c r="C568" s="100" t="n"/>
      <c r="D568" s="96" t="inlineStr">
        <is>
          <t>8107652.0:ARCELORMITTAL PROTO FLORANGE - 1000.0x1173.0x2.61</t>
        </is>
      </c>
      <c r="E568" s="96" t="n">
        <v>0.14</v>
      </c>
      <c r="F568" s="96" t="n">
        <v>0.1218</v>
      </c>
      <c r="G568" s="97" t="n">
        <v>0.12</v>
      </c>
    </row>
    <row r="569">
      <c r="C569" s="100" t="n"/>
      <c r="D569" s="98" t="inlineStr">
        <is>
          <t>8110736.0:ARCELORMITTAL PROTO FLORANGE - 2200.0x1000.0x0.8</t>
        </is>
      </c>
      <c r="E569" s="98" t="n">
        <v>0.28</v>
      </c>
      <c r="F569" s="98" t="n">
        <v>10.086</v>
      </c>
      <c r="G569" s="99" t="n">
        <v>4.87</v>
      </c>
    </row>
    <row r="570">
      <c r="C570" s="100" t="n"/>
      <c r="D570" s="96" t="inlineStr">
        <is>
          <t>8110737.0:ARCELORMITTAL PROTO FLORANGE - 2200.0x1100.0x1.1</t>
        </is>
      </c>
      <c r="E570" s="96" t="n">
        <v>0.27</v>
      </c>
      <c r="F570" s="96" t="n">
        <v>10.032</v>
      </c>
      <c r="G570" s="97" t="n">
        <v>4.87</v>
      </c>
    </row>
    <row r="571">
      <c r="C571" s="100" t="n"/>
      <c r="D571" s="96" t="inlineStr">
        <is>
          <t>8111492.0:ARCELORMITTAL PROTO FLORANGE - 2000.0x1040.0x3.0</t>
        </is>
      </c>
      <c r="E571" s="96" t="n">
        <v>0.89</v>
      </c>
      <c r="F571" s="96" t="n">
        <v>6.255</v>
      </c>
      <c r="G571" s="97" t="n">
        <v>0.9399999999999999</v>
      </c>
    </row>
    <row r="572">
      <c r="C572" s="100" t="n"/>
      <c r="D572" s="101" t="inlineStr">
        <is>
          <t>8111885.0:ARCELORMITTAL PROTO FLORANGE - 500.0x932.0x1.52</t>
        </is>
      </c>
      <c r="E572" s="101" t="n">
        <v>0</v>
      </c>
      <c r="F572" s="101" t="n">
        <v>0.05649</v>
      </c>
      <c r="G572" s="102" t="n">
        <v>4.87</v>
      </c>
    </row>
    <row r="573">
      <c r="C573" s="100" t="n"/>
      <c r="D573" s="96" t="inlineStr">
        <is>
          <t>8112017.0:ARCELORMITTAL PROTO FLORANGE - 1250.0x1200.0x1.5</t>
        </is>
      </c>
      <c r="E573" s="96" t="n">
        <v>0.2</v>
      </c>
      <c r="F573" s="96" t="n">
        <v>0.107</v>
      </c>
      <c r="G573" s="97" t="n">
        <v>0.07000000000000001</v>
      </c>
    </row>
    <row r="574">
      <c r="C574" s="100" t="n"/>
      <c r="D574" s="96" t="inlineStr">
        <is>
          <t>8112936.0:ARCELORMITTAL PROTO FLORANGE - 2000.0x1213.0x1.82</t>
        </is>
      </c>
      <c r="E574" s="96" t="n">
        <v>0.01</v>
      </c>
      <c r="F574" s="96" t="n">
        <v>0.52497</v>
      </c>
      <c r="G574" s="97" t="n">
        <v>4.87</v>
      </c>
    </row>
    <row r="575">
      <c r="C575" s="103" t="n"/>
      <c r="D575" s="104" t="inlineStr">
        <is>
          <t>8112990.0:ARCELORMITTAL PROTO FLORANGE - 2000.0x948.0x2.0</t>
        </is>
      </c>
      <c r="E575" s="104" t="n">
        <v>0.4</v>
      </c>
      <c r="F575" s="104" t="n">
        <v>0.45189</v>
      </c>
      <c r="G575" s="105" t="n">
        <v>0.15</v>
      </c>
    </row>
    <row r="579">
      <c r="C579" s="92" t="inlineStr">
        <is>
          <t>Details for : P3 proto - Postes Forecast W</t>
        </is>
      </c>
      <c r="D579" s="93" t="inlineStr">
        <is>
          <t>Article : Client - Length x Width x Thickness</t>
        </is>
      </c>
      <c r="E579" s="93" t="inlineStr">
        <is>
          <t>Postes</t>
        </is>
      </c>
      <c r="F579" s="93" t="inlineStr">
        <is>
          <t>Tonnes</t>
        </is>
      </c>
      <c r="G579" s="94" t="inlineStr">
        <is>
          <t>Productivity</t>
        </is>
      </c>
    </row>
    <row r="580">
      <c r="C580" s="95" t="inlineStr">
        <is>
          <t>Sum Tonnes : 0.58</t>
        </is>
      </c>
      <c r="D580" s="101" t="inlineStr">
        <is>
          <t>8113767.0:ARCELORMITTAL PROTO FLORANGE - 500.0x1200.0x1.62</t>
        </is>
      </c>
      <c r="E580" s="101" t="n">
        <v>0.26</v>
      </c>
      <c r="F580" s="101" t="n">
        <v>0.07734000000000001</v>
      </c>
      <c r="G580" s="102" t="n">
        <v>0.04</v>
      </c>
    </row>
    <row r="581">
      <c r="C581" s="95" t="inlineStr">
        <is>
          <t>Sum Postes : 0.27</t>
        </is>
      </c>
      <c r="D581" s="98" t="inlineStr">
        <is>
          <t>8113403.0:ARCELORMITTAL PROTO FLORANGE - 2000.0x1201.0x1.75</t>
        </is>
      </c>
      <c r="E581" s="98" t="n">
        <v>0.01</v>
      </c>
      <c r="F581" s="98" t="n">
        <v>0.49983</v>
      </c>
      <c r="G581" s="99" t="n">
        <v>4.87</v>
      </c>
    </row>
    <row r="582">
      <c r="C582" s="106" t="inlineStr">
        <is>
          <t>Average Productivity : 2.84</t>
        </is>
      </c>
      <c r="D582" s="104" t="n"/>
      <c r="E582" s="104" t="n"/>
      <c r="F582" s="104" t="n"/>
      <c r="G582" s="105" t="n"/>
    </row>
    <row r="586">
      <c r="C586" s="92" t="inlineStr">
        <is>
          <t>Details for : P3 proto - Postes Forecast W1</t>
        </is>
      </c>
      <c r="D586" s="93" t="inlineStr">
        <is>
          <t>Article : Client - Length x Width x Thickness</t>
        </is>
      </c>
      <c r="E586" s="93" t="inlineStr">
        <is>
          <t>Postes</t>
        </is>
      </c>
      <c r="F586" s="93" t="inlineStr">
        <is>
          <t>Tonnes</t>
        </is>
      </c>
      <c r="G586" s="94" t="inlineStr">
        <is>
          <t>Productivity</t>
        </is>
      </c>
    </row>
    <row r="587">
      <c r="C587" s="95" t="inlineStr">
        <is>
          <t>Sum Tonnes : 0.58</t>
        </is>
      </c>
      <c r="D587" s="98" t="inlineStr">
        <is>
          <t>8114054.0:ARCELORMITTAL PROTO FLORANGE - 2000.0x1015.0x2.23</t>
        </is>
      </c>
      <c r="E587" s="98" t="n">
        <v>0.01</v>
      </c>
      <c r="F587" s="98" t="n">
        <v>0.53648</v>
      </c>
      <c r="G587" s="99" t="n">
        <v>4.87</v>
      </c>
    </row>
    <row r="588">
      <c r="C588" s="95" t="inlineStr">
        <is>
          <t>Sum Postes : 0.33</t>
        </is>
      </c>
      <c r="D588" s="101" t="inlineStr">
        <is>
          <t>8113928.0:ARCELORMITTAL PROTO FLORANGE - 500.0x1010.0x1.5</t>
        </is>
      </c>
      <c r="E588" s="101" t="n">
        <v>0.32</v>
      </c>
      <c r="F588" s="101" t="n">
        <v>0.04795</v>
      </c>
      <c r="G588" s="102" t="n">
        <v>0.02</v>
      </c>
    </row>
    <row r="589">
      <c r="C589" s="106" t="inlineStr">
        <is>
          <t>Average Productivity : 2.84</t>
        </is>
      </c>
      <c r="D589" s="104" t="n"/>
      <c r="E589" s="104" t="n"/>
      <c r="F589" s="104" t="n"/>
      <c r="G589" s="105" t="n"/>
    </row>
    <row r="593">
      <c r="C593" s="92" t="inlineStr">
        <is>
          <t>Details for : P3 proto - Postes Forecast W2</t>
        </is>
      </c>
      <c r="D593" s="93" t="inlineStr">
        <is>
          <t>Article : Client - Length x Width x Thickness</t>
        </is>
      </c>
      <c r="E593" s="93" t="inlineStr">
        <is>
          <t>Postes</t>
        </is>
      </c>
      <c r="F593" s="93" t="inlineStr">
        <is>
          <t>Tonnes</t>
        </is>
      </c>
      <c r="G593" s="94" t="inlineStr">
        <is>
          <t>Productivity</t>
        </is>
      </c>
    </row>
    <row r="594">
      <c r="C594" s="95" t="inlineStr">
        <is>
          <t>Sum Tonnes : 0.46</t>
        </is>
      </c>
      <c r="D594" s="98" t="inlineStr">
        <is>
          <t>8113944.0:ARCELORMITTAL PROTO FLORANGE - 2000.0x904.0x2.12</t>
        </is>
      </c>
      <c r="E594" s="98" t="n">
        <v>0.01</v>
      </c>
      <c r="F594" s="98" t="n">
        <v>0.457</v>
      </c>
      <c r="G594" s="99" t="n">
        <v>4.87</v>
      </c>
    </row>
    <row r="595">
      <c r="C595" s="95" t="inlineStr">
        <is>
          <t>Sum Postes : 0.01</t>
        </is>
      </c>
      <c r="D595" s="96" t="n"/>
      <c r="E595" s="96" t="n"/>
      <c r="F595" s="96" t="n"/>
      <c r="G595" s="97" t="n"/>
    </row>
    <row r="596">
      <c r="C596" s="106" t="inlineStr">
        <is>
          <t>Average Productivity : 2.84</t>
        </is>
      </c>
      <c r="D596" s="104" t="n"/>
      <c r="E596" s="104" t="n"/>
      <c r="F596" s="104" t="n"/>
      <c r="G596" s="105" t="n"/>
    </row>
    <row r="600">
      <c r="C600" s="92" t="inlineStr">
        <is>
          <t>Details for : R1 serie - Postes Backlog</t>
        </is>
      </c>
      <c r="D600" s="93" t="inlineStr">
        <is>
          <t>Article : Client - Length x Width x Thickness</t>
        </is>
      </c>
      <c r="E600" s="93" t="inlineStr">
        <is>
          <t>Postes</t>
        </is>
      </c>
      <c r="F600" s="93" t="inlineStr">
        <is>
          <t>Tonnes</t>
        </is>
      </c>
      <c r="G600" s="94" t="inlineStr">
        <is>
          <t>Productivity</t>
        </is>
      </c>
    </row>
    <row r="601">
      <c r="C601" s="95" t="inlineStr">
        <is>
          <t>Sum Tonnes : 781.66</t>
        </is>
      </c>
      <c r="D601" s="96" t="inlineStr">
        <is>
          <t>8022928.0:ArcelorMittal FRANCE - 0.0x880.0x0.85</t>
        </is>
      </c>
      <c r="E601" s="96" t="n">
        <v>0.09</v>
      </c>
      <c r="F601" s="96" t="n">
        <v>10.081</v>
      </c>
      <c r="G601" s="97" t="n">
        <v>14.61</v>
      </c>
    </row>
    <row r="602">
      <c r="C602" s="95" t="inlineStr">
        <is>
          <t>Sum Postes : 5.85</t>
        </is>
      </c>
      <c r="D602" s="96" t="inlineStr">
        <is>
          <t>8058213.0:ArcelorMittal FRANCE - 0.0x910.0x0.65</t>
        </is>
      </c>
      <c r="E602" s="96" t="n">
        <v>0.07000000000000001</v>
      </c>
      <c r="F602" s="96" t="n">
        <v>16.777</v>
      </c>
      <c r="G602" s="97" t="n">
        <v>33.69</v>
      </c>
    </row>
    <row r="603">
      <c r="C603" s="95" t="inlineStr">
        <is>
          <t>Average Productivity : 18.33</t>
        </is>
      </c>
      <c r="D603" s="96" t="inlineStr">
        <is>
          <t>8058213.0:ArcelorMittal FRANCE - 0.0x910.0x0.65</t>
        </is>
      </c>
      <c r="E603" s="96" t="n">
        <v>0.05</v>
      </c>
      <c r="F603" s="96" t="n">
        <v>12.24</v>
      </c>
      <c r="G603" s="97" t="n">
        <v>33.69</v>
      </c>
    </row>
    <row r="604">
      <c r="C604" s="100" t="n"/>
      <c r="D604" s="96" t="inlineStr">
        <is>
          <t>8054672.0:ArcelorMittal FRANCE - 0.0x970.0x0.5</t>
        </is>
      </c>
      <c r="E604" s="96" t="n">
        <v>0.06</v>
      </c>
      <c r="F604" s="96" t="n">
        <v>14.93</v>
      </c>
      <c r="G604" s="97" t="n">
        <v>33.69</v>
      </c>
    </row>
    <row r="605">
      <c r="C605" s="100" t="n"/>
      <c r="D605" s="96" t="inlineStr">
        <is>
          <t>8055148.0:ArcelorMittal FRANCE - 0.0x900.0x0.5</t>
        </is>
      </c>
      <c r="E605" s="96" t="n">
        <v>0.17</v>
      </c>
      <c r="F605" s="96" t="n">
        <v>16.433</v>
      </c>
      <c r="G605" s="97" t="n">
        <v>13.16</v>
      </c>
    </row>
    <row r="606">
      <c r="C606" s="100" t="n"/>
      <c r="D606" s="96" t="inlineStr">
        <is>
          <t>8022928.0:ArcelorMittal FRANCE - 0.0x880.0x0.85</t>
        </is>
      </c>
      <c r="E606" s="96" t="n">
        <v>0.11</v>
      </c>
      <c r="F606" s="96" t="n">
        <v>11.85</v>
      </c>
      <c r="G606" s="97" t="n">
        <v>14.61</v>
      </c>
    </row>
    <row r="607">
      <c r="C607" s="100" t="n"/>
      <c r="D607" s="96" t="inlineStr">
        <is>
          <t>8085848.0:BUBENDORFF SAS - 0.0x185.0x0.6</t>
        </is>
      </c>
      <c r="E607" s="96" t="n">
        <v>0.02</v>
      </c>
      <c r="F607" s="96" t="n">
        <v>3.09</v>
      </c>
      <c r="G607" s="97" t="n">
        <v>19.99</v>
      </c>
    </row>
    <row r="608">
      <c r="C608" s="100" t="n"/>
      <c r="D608" s="96" t="inlineStr">
        <is>
          <t>8056251.0:LEBRAUT RICHARD DECOUPAGE SAS - 0.0x337.0x1.5</t>
        </is>
      </c>
      <c r="E608" s="96" t="n">
        <v>0.4</v>
      </c>
      <c r="F608" s="96" t="n">
        <v>25</v>
      </c>
      <c r="G608" s="97" t="n">
        <v>8.43</v>
      </c>
    </row>
    <row r="609">
      <c r="C609" s="100" t="n"/>
      <c r="D609" s="96" t="inlineStr">
        <is>
          <t>8039801.0:SIMPSON STRONG-TIE SAS - 0.0x320.0x2.0</t>
        </is>
      </c>
      <c r="E609" s="96" t="n">
        <v>0.02</v>
      </c>
      <c r="F609" s="96" t="n">
        <v>4.56</v>
      </c>
      <c r="G609" s="97" t="n">
        <v>25.73</v>
      </c>
    </row>
    <row r="610">
      <c r="C610" s="100" t="n"/>
      <c r="D610" s="96" t="inlineStr">
        <is>
          <t>8048809.0:SIMPSON STRONG-TIE SAS - 0.0x80.0x2.0</t>
        </is>
      </c>
      <c r="E610" s="96" t="n">
        <v>0.03</v>
      </c>
      <c r="F610" s="96" t="n">
        <v>5.092</v>
      </c>
      <c r="G610" s="97" t="n">
        <v>23.6</v>
      </c>
    </row>
    <row r="611">
      <c r="C611" s="100" t="n"/>
      <c r="D611" s="96" t="inlineStr">
        <is>
          <t>8029019.0:PLACOPLATRE SA - 0.0x92.0x0.59</t>
        </is>
      </c>
      <c r="E611" s="96" t="n">
        <v>0.02</v>
      </c>
      <c r="F611" s="96" t="n">
        <v>2.705</v>
      </c>
      <c r="G611" s="97" t="n">
        <v>18.01</v>
      </c>
    </row>
    <row r="612">
      <c r="C612" s="100" t="n"/>
      <c r="D612" s="96" t="inlineStr">
        <is>
          <t>8058156.0:VIESSMANN FAULQUEMONT SAS - 0.0x630.0x3.5</t>
        </is>
      </c>
      <c r="E612" s="96" t="n">
        <v>0.03</v>
      </c>
      <c r="F612" s="96" t="n">
        <v>3.62</v>
      </c>
      <c r="G612" s="97" t="n">
        <v>18.58</v>
      </c>
    </row>
    <row r="613">
      <c r="C613" s="100" t="n"/>
      <c r="D613" s="96" t="inlineStr">
        <is>
          <t>8041795.0:SIMPSON STRONG-TIE SAS - 0.0x440.0x2.0</t>
        </is>
      </c>
      <c r="E613" s="96" t="n">
        <v>0.52</v>
      </c>
      <c r="F613" s="96" t="n">
        <v>68.98</v>
      </c>
      <c r="G613" s="97" t="n">
        <v>17.85</v>
      </c>
    </row>
    <row r="614">
      <c r="C614" s="100" t="n"/>
      <c r="D614" s="96" t="inlineStr">
        <is>
          <t>8039801.0:SIMPSON STRONG-TIE SAS - 0.0x320.0x2.0</t>
        </is>
      </c>
      <c r="E614" s="96" t="n">
        <v>0.18</v>
      </c>
      <c r="F614" s="96" t="n">
        <v>34.155</v>
      </c>
      <c r="G614" s="97" t="n">
        <v>25.73</v>
      </c>
    </row>
    <row r="615">
      <c r="C615" s="100" t="n"/>
      <c r="D615" s="98" t="inlineStr">
        <is>
          <t>8033084.0:SIMPSON STRONG-TIE SAS - 0.0x380.0x2.0</t>
        </is>
      </c>
      <c r="E615" s="98" t="n">
        <v>0.64</v>
      </c>
      <c r="F615" s="98" t="n">
        <v>118.515</v>
      </c>
      <c r="G615" s="99" t="n">
        <v>24.77</v>
      </c>
    </row>
    <row r="616">
      <c r="C616" s="100" t="n"/>
      <c r="D616" s="96" t="inlineStr">
        <is>
          <t>8033083.0:SIMPSON STRONG-TIE SAS - 0.0x340.0x2.0</t>
        </is>
      </c>
      <c r="E616" s="96" t="n">
        <v>0.1</v>
      </c>
      <c r="F616" s="96" t="n">
        <v>13.94</v>
      </c>
      <c r="G616" s="97" t="n">
        <v>18.96</v>
      </c>
    </row>
    <row r="617">
      <c r="C617" s="100" t="n"/>
      <c r="D617" s="96" t="inlineStr">
        <is>
          <t>8033054.0:SIMPSON STRONG-TIE SAS - 0.0x150.0x1.5</t>
        </is>
      </c>
      <c r="E617" s="96" t="n">
        <v>0.01</v>
      </c>
      <c r="F617" s="96" t="n">
        <v>1.38</v>
      </c>
      <c r="G617" s="97" t="n">
        <v>18.02</v>
      </c>
    </row>
    <row r="618">
      <c r="C618" s="100" t="n"/>
      <c r="D618" s="96" t="inlineStr">
        <is>
          <t>8033590.0:SIMPSON STRONG-TIE SAS - 0.0x250.0x1.5</t>
        </is>
      </c>
      <c r="E618" s="96" t="n">
        <v>0.25</v>
      </c>
      <c r="F618" s="96" t="n">
        <v>34.243</v>
      </c>
      <c r="G618" s="97" t="n">
        <v>18.02</v>
      </c>
    </row>
    <row r="619">
      <c r="C619" s="100" t="n"/>
      <c r="D619" s="96" t="inlineStr">
        <is>
          <t>8039805.0:SIMPSON STRONG-TIE SAS - 0.0x60.0x1.5</t>
        </is>
      </c>
      <c r="E619" s="96" t="n">
        <v>0.01</v>
      </c>
      <c r="F619" s="96" t="n">
        <v>1</v>
      </c>
      <c r="G619" s="97" t="n">
        <v>18.02</v>
      </c>
    </row>
    <row r="620">
      <c r="C620" s="100" t="n"/>
      <c r="D620" s="96" t="inlineStr">
        <is>
          <t>8033077.0:SIMPSON STRONG-TIE SAS - 0.0x380.0x1.5</t>
        </is>
      </c>
      <c r="E620" s="96" t="n">
        <v>0.02</v>
      </c>
      <c r="F620" s="96" t="n">
        <v>2.526</v>
      </c>
      <c r="G620" s="97" t="n">
        <v>22.08</v>
      </c>
    </row>
    <row r="621">
      <c r="C621" s="100" t="n"/>
      <c r="D621" s="96" t="inlineStr">
        <is>
          <t>8085848.0:BUBENDORFF SAS - 0.0x185.0x0.6</t>
        </is>
      </c>
      <c r="E621" s="96" t="n">
        <v>0.13</v>
      </c>
      <c r="F621" s="96" t="n">
        <v>20</v>
      </c>
      <c r="G621" s="97" t="n">
        <v>19.99</v>
      </c>
    </row>
    <row r="622">
      <c r="C622" s="100" t="n"/>
      <c r="D622" s="96" t="inlineStr">
        <is>
          <t>8039779.0:SIMPSON STRONG-TIE SAS - 0.0x320.0x1.5</t>
        </is>
      </c>
      <c r="E622" s="96" t="n">
        <v>0.08</v>
      </c>
      <c r="F622" s="96" t="n">
        <v>13.27</v>
      </c>
      <c r="G622" s="97" t="n">
        <v>22.08</v>
      </c>
    </row>
    <row r="623">
      <c r="C623" s="100" t="n"/>
      <c r="D623" s="96" t="inlineStr">
        <is>
          <t>8110459.0:TOLE PRO - 0.0x74.0x2.45</t>
        </is>
      </c>
      <c r="E623" s="96" t="n">
        <v>0.13</v>
      </c>
      <c r="F623" s="96" t="n">
        <v>7.228</v>
      </c>
      <c r="G623" s="97" t="n">
        <v>7.57</v>
      </c>
    </row>
    <row r="624">
      <c r="C624" s="100" t="n"/>
      <c r="D624" s="96" t="inlineStr">
        <is>
          <t>8039802.0:SIMPSON STRONG-TIE SAS - 0.0x220.0x2.5</t>
        </is>
      </c>
      <c r="E624" s="96" t="n">
        <v>0.01</v>
      </c>
      <c r="F624" s="96" t="n">
        <v>2</v>
      </c>
      <c r="G624" s="97" t="n">
        <v>18.02</v>
      </c>
    </row>
    <row r="625">
      <c r="C625" s="100" t="n"/>
      <c r="D625" s="96" t="inlineStr">
        <is>
          <t>8033158.0:SIMPSON STRONG-TIE SAS - 0.0x171.0x2.5</t>
        </is>
      </c>
      <c r="E625" s="96" t="n">
        <v>0.07000000000000001</v>
      </c>
      <c r="F625" s="96" t="n">
        <v>11.7</v>
      </c>
      <c r="G625" s="97" t="n">
        <v>22.36</v>
      </c>
    </row>
    <row r="626">
      <c r="C626" s="100" t="n"/>
      <c r="D626" s="96" t="inlineStr">
        <is>
          <t>8033077.0:SIMPSON STRONG-TIE SAS - 0.0x380.0x1.5</t>
        </is>
      </c>
      <c r="E626" s="96" t="n">
        <v>0.02</v>
      </c>
      <c r="F626" s="96" t="n">
        <v>4</v>
      </c>
      <c r="G626" s="97" t="n">
        <v>22.08</v>
      </c>
    </row>
    <row r="627">
      <c r="C627" s="100" t="n"/>
      <c r="D627" s="96" t="inlineStr">
        <is>
          <t>8042388.0:SIMPSON STRONG-TIE SAS - 0.0x275.0x3.0</t>
        </is>
      </c>
      <c r="E627" s="96" t="n">
        <v>0.06</v>
      </c>
      <c r="F627" s="96" t="n">
        <v>14.1</v>
      </c>
      <c r="G627" s="97" t="n">
        <v>30.28</v>
      </c>
    </row>
    <row r="628">
      <c r="C628" s="100" t="n"/>
      <c r="D628" s="96" t="inlineStr">
        <is>
          <t>8033497.0:SIMPSON STRONG-TIE SAS - 0.0x260.0x1.5</t>
        </is>
      </c>
      <c r="E628" s="96" t="n">
        <v>0.05</v>
      </c>
      <c r="F628" s="96" t="n">
        <v>7.178</v>
      </c>
      <c r="G628" s="97" t="n">
        <v>18.02</v>
      </c>
    </row>
    <row r="629">
      <c r="C629" s="100" t="n"/>
      <c r="D629" s="96" t="inlineStr">
        <is>
          <t>8029712.0:RICHTER SYSTEM / SCHULTZ - 0.0x118.0x0.58</t>
        </is>
      </c>
      <c r="E629" s="96" t="n">
        <v>0.12</v>
      </c>
      <c r="F629" s="96" t="n">
        <v>13.41</v>
      </c>
      <c r="G629" s="97" t="n">
        <v>14.55</v>
      </c>
    </row>
    <row r="630">
      <c r="C630" s="100" t="n"/>
      <c r="D630" s="96" t="inlineStr">
        <is>
          <t>8068456.0:SEMIN PROFILS - 0.0x93.0x0.58</t>
        </is>
      </c>
      <c r="E630" s="96" t="n">
        <v>0.97</v>
      </c>
      <c r="F630" s="96" t="n">
        <v>100</v>
      </c>
      <c r="G630" s="97" t="n">
        <v>13.78</v>
      </c>
    </row>
    <row r="631">
      <c r="C631" s="100" t="n"/>
      <c r="D631" s="96" t="inlineStr">
        <is>
          <t>8029019.0:PLACOPLATRE SA - 0.0x92.0x0.59</t>
        </is>
      </c>
      <c r="E631" s="96" t="n">
        <v>0.37</v>
      </c>
      <c r="F631" s="96" t="n">
        <v>50</v>
      </c>
      <c r="G631" s="97" t="n">
        <v>18.01</v>
      </c>
    </row>
    <row r="632">
      <c r="C632" s="100" t="n"/>
      <c r="D632" s="96" t="inlineStr">
        <is>
          <t>8013866.0:MA SRL - 0.0x265.0x0.95</t>
        </is>
      </c>
      <c r="E632" s="96" t="n">
        <v>0.18</v>
      </c>
      <c r="F632" s="96" t="n">
        <v>20.374</v>
      </c>
      <c r="G632" s="97" t="n">
        <v>14.83</v>
      </c>
    </row>
    <row r="633">
      <c r="C633" s="100" t="n"/>
      <c r="D633" s="96" t="inlineStr">
        <is>
          <t>8017856.0:MA POLSKA - 0.0x293.5x0.95</t>
        </is>
      </c>
      <c r="E633" s="96" t="n">
        <v>0.16</v>
      </c>
      <c r="F633" s="96" t="n">
        <v>24.915</v>
      </c>
      <c r="G633" s="97" t="n">
        <v>21.17</v>
      </c>
    </row>
    <row r="634">
      <c r="C634" s="100" t="n"/>
      <c r="D634" s="96" t="inlineStr">
        <is>
          <t>8022973.0:BAOMARC - 0.0x457.0x1.5</t>
        </is>
      </c>
      <c r="E634" s="96" t="n">
        <v>0.03</v>
      </c>
      <c r="F634" s="96" t="n">
        <v>7.135</v>
      </c>
      <c r="G634" s="97" t="n">
        <v>29.5</v>
      </c>
    </row>
    <row r="635">
      <c r="C635" s="100" t="n"/>
      <c r="D635" s="96" t="inlineStr">
        <is>
          <t>8027928.0:MA SRL - 0.0x320.0x1.4</t>
        </is>
      </c>
      <c r="E635" s="96" t="n">
        <v>0.14</v>
      </c>
      <c r="F635" s="96" t="n">
        <v>24.61</v>
      </c>
      <c r="G635" s="97" t="n">
        <v>23.34</v>
      </c>
    </row>
    <row r="636">
      <c r="C636" s="100" t="n"/>
      <c r="D636" s="96" t="inlineStr">
        <is>
          <t>8050618.0:MA POLSKA - 0.0x320.0x1.4</t>
        </is>
      </c>
      <c r="E636" s="96" t="n">
        <v>0.13</v>
      </c>
      <c r="F636" s="96" t="n">
        <v>22.275</v>
      </c>
      <c r="G636" s="97" t="n">
        <v>23.18</v>
      </c>
    </row>
    <row r="637">
      <c r="C637" s="100" t="n"/>
      <c r="D637" s="96" t="inlineStr">
        <is>
          <t>8029909.0:SAREL APPAREILLAGE ELECTRIQUE - 0.0x421.5x1.5</t>
        </is>
      </c>
      <c r="E637" s="96" t="n">
        <v>0.05</v>
      </c>
      <c r="F637" s="96" t="n">
        <v>5.745</v>
      </c>
      <c r="G637" s="97" t="n">
        <v>16.65</v>
      </c>
    </row>
    <row r="638">
      <c r="C638" s="100" t="n"/>
      <c r="D638" s="96" t="inlineStr">
        <is>
          <t>8040446.0:SAREL APPAREILLAGE ELECTRIQUE - 0.0x797.0x2.5</t>
        </is>
      </c>
      <c r="E638" s="96" t="n">
        <v>0.13</v>
      </c>
      <c r="F638" s="96" t="n">
        <v>8.651999999999999</v>
      </c>
      <c r="G638" s="97" t="n">
        <v>8.609999999999999</v>
      </c>
    </row>
    <row r="639">
      <c r="C639" s="100" t="n"/>
      <c r="D639" s="96" t="inlineStr">
        <is>
          <t>8029916.0:SAREL APPAREILLAGE ELECTRIQUE - 0.0x789.0x1.8</t>
        </is>
      </c>
      <c r="E639" s="96" t="n">
        <v>0.04</v>
      </c>
      <c r="F639" s="96" t="n">
        <v>4.45</v>
      </c>
      <c r="G639" s="97" t="n">
        <v>15.75</v>
      </c>
    </row>
    <row r="640">
      <c r="C640" s="100" t="n"/>
      <c r="D640" s="101" t="inlineStr">
        <is>
          <t>8040462.0:SAREL APPAREILLAGE ELECTRIQUE - 0.0x597.0x2.5</t>
        </is>
      </c>
      <c r="E640" s="101" t="n">
        <v>0.01</v>
      </c>
      <c r="F640" s="101" t="n">
        <v>0.855</v>
      </c>
      <c r="G640" s="102" t="n">
        <v>11.47</v>
      </c>
    </row>
    <row r="641">
      <c r="C641" s="103" t="n"/>
      <c r="D641" s="104" t="inlineStr">
        <is>
          <t>8022128.0:NPL SASU - 0.0x227.0x1.0</t>
        </is>
      </c>
      <c r="E641" s="104" t="n">
        <v>0.17</v>
      </c>
      <c r="F641" s="104" t="n">
        <v>18.645</v>
      </c>
      <c r="G641" s="105" t="n">
        <v>14.38</v>
      </c>
    </row>
    <row r="645">
      <c r="C645" s="92" t="inlineStr">
        <is>
          <t>Details for : R1 serie - Postes Forecast W</t>
        </is>
      </c>
      <c r="D645" s="93" t="inlineStr">
        <is>
          <t>Article : Client - Length x Width x Thickness</t>
        </is>
      </c>
      <c r="E645" s="93" t="inlineStr">
        <is>
          <t>Postes</t>
        </is>
      </c>
      <c r="F645" s="93" t="inlineStr">
        <is>
          <t>Tonnes</t>
        </is>
      </c>
      <c r="G645" s="94" t="inlineStr">
        <is>
          <t>Productivity</t>
        </is>
      </c>
    </row>
    <row r="646">
      <c r="C646" s="95" t="inlineStr">
        <is>
          <t>Sum Tonnes : 322.14</t>
        </is>
      </c>
      <c r="D646" s="96" t="inlineStr">
        <is>
          <t>8056251.0:LEBRAUT RICHARD DECOUPAGE SAS - 0.0x337.0x1.5</t>
        </is>
      </c>
      <c r="E646" s="96" t="n">
        <v>0.4</v>
      </c>
      <c r="F646" s="96" t="n">
        <v>25</v>
      </c>
      <c r="G646" s="97" t="n">
        <v>8.43</v>
      </c>
    </row>
    <row r="647">
      <c r="C647" s="95" t="inlineStr">
        <is>
          <t>Sum Postes : 2.21</t>
        </is>
      </c>
      <c r="D647" s="96" t="inlineStr">
        <is>
          <t>8011953.0:SNOP VILLEPINTE - 0.0x356.0x1.15</t>
        </is>
      </c>
      <c r="E647" s="96" t="n">
        <v>0.03</v>
      </c>
      <c r="F647" s="96" t="n">
        <v>4.26</v>
      </c>
      <c r="G647" s="97" t="n">
        <v>22.44</v>
      </c>
    </row>
    <row r="648">
      <c r="C648" s="95" t="inlineStr">
        <is>
          <t>Average Productivity : 18.33</t>
        </is>
      </c>
      <c r="D648" s="96" t="inlineStr">
        <is>
          <t>8013866.0:MA SRL - 0.0x265.0x0.95</t>
        </is>
      </c>
      <c r="E648" s="96" t="n">
        <v>0.2</v>
      </c>
      <c r="F648" s="96" t="n">
        <v>22</v>
      </c>
      <c r="G648" s="97" t="n">
        <v>14.83</v>
      </c>
    </row>
    <row r="649">
      <c r="C649" s="100" t="n"/>
      <c r="D649" s="96" t="inlineStr">
        <is>
          <t>8017856.0:MA POLSKA - 0.0x293.5x0.95</t>
        </is>
      </c>
      <c r="E649" s="96" t="n">
        <v>0.16</v>
      </c>
      <c r="F649" s="96" t="n">
        <v>25</v>
      </c>
      <c r="G649" s="97" t="n">
        <v>21.17</v>
      </c>
    </row>
    <row r="650">
      <c r="C650" s="100" t="n"/>
      <c r="D650" s="98" t="inlineStr">
        <is>
          <t>8027664.0:SNOP VILLEPINTE - 0.0x212.8x1.15</t>
        </is>
      </c>
      <c r="E650" s="98" t="n">
        <v>0.3</v>
      </c>
      <c r="F650" s="98" t="n">
        <v>64.8</v>
      </c>
      <c r="G650" s="99" t="n">
        <v>28.95</v>
      </c>
    </row>
    <row r="651">
      <c r="C651" s="100" t="n"/>
      <c r="D651" s="96" t="inlineStr">
        <is>
          <t>8027662.0:SNOP VILLEPINTE - 0.0x101.5x1.05</t>
        </is>
      </c>
      <c r="E651" s="96" t="n">
        <v>0.14</v>
      </c>
      <c r="F651" s="96" t="n">
        <v>18.7</v>
      </c>
      <c r="G651" s="97" t="n">
        <v>17.64</v>
      </c>
    </row>
    <row r="652">
      <c r="C652" s="100" t="n"/>
      <c r="D652" s="96" t="inlineStr">
        <is>
          <t>8027928.0:MA SRL - 0.0x320.0x1.4</t>
        </is>
      </c>
      <c r="E652" s="96" t="n">
        <v>0.29</v>
      </c>
      <c r="F652" s="96" t="n">
        <v>50</v>
      </c>
      <c r="G652" s="97" t="n">
        <v>23.34</v>
      </c>
    </row>
    <row r="653">
      <c r="C653" s="100" t="n"/>
      <c r="D653" s="96" t="inlineStr">
        <is>
          <t>8050618.0:MA POLSKA - 0.0x320.0x1.4</t>
        </is>
      </c>
      <c r="E653" s="96" t="n">
        <v>0.14</v>
      </c>
      <c r="F653" s="96" t="n">
        <v>25</v>
      </c>
      <c r="G653" s="97" t="n">
        <v>23.18</v>
      </c>
    </row>
    <row r="654">
      <c r="C654" s="100" t="n"/>
      <c r="D654" s="96" t="inlineStr">
        <is>
          <t>8061732.0:SNOP VILLEPINTE - 0.0x302.3x1.2</t>
        </is>
      </c>
      <c r="E654" s="96" t="n">
        <v>0.21</v>
      </c>
      <c r="F654" s="96" t="n">
        <v>42</v>
      </c>
      <c r="G654" s="97" t="n">
        <v>26.19</v>
      </c>
    </row>
    <row r="655">
      <c r="C655" s="100" t="n"/>
      <c r="D655" s="96" t="inlineStr">
        <is>
          <t>8029911.0:SAREL APPAREILLAGE ELECTRIQUE - 0.0x821.5x1.5</t>
        </is>
      </c>
      <c r="E655" s="96" t="n">
        <v>0.01</v>
      </c>
      <c r="F655" s="96" t="n">
        <v>1.075</v>
      </c>
      <c r="G655" s="97" t="n">
        <v>18.03</v>
      </c>
    </row>
    <row r="656">
      <c r="C656" s="100" t="n"/>
      <c r="D656" s="96" t="inlineStr">
        <is>
          <t>8029912.0:SAREL APPAREILLAGE ELECTRIQUE - 0.0x1046.0x1.5</t>
        </is>
      </c>
      <c r="E656" s="96" t="n">
        <v>0.02</v>
      </c>
      <c r="F656" s="96" t="n">
        <v>2.5</v>
      </c>
      <c r="G656" s="97" t="n">
        <v>15.39</v>
      </c>
    </row>
    <row r="657">
      <c r="C657" s="100" t="n"/>
      <c r="D657" s="96" t="inlineStr">
        <is>
          <t>8029910.0:SAREL APPAREILLAGE ELECTRIQUE - 0.0x621.5x1.5</t>
        </is>
      </c>
      <c r="E657" s="96" t="n">
        <v>0.02</v>
      </c>
      <c r="F657" s="96" t="n">
        <v>0.8</v>
      </c>
      <c r="G657" s="97" t="n">
        <v>6.76</v>
      </c>
    </row>
    <row r="658">
      <c r="C658" s="100" t="n"/>
      <c r="D658" s="96" t="inlineStr">
        <is>
          <t>8029913.0:SAREL APPAREILLAGE ELECTRIQUE - 0.0x1246.0x1.5</t>
        </is>
      </c>
      <c r="E658" s="96" t="n">
        <v>0</v>
      </c>
      <c r="F658" s="96" t="n">
        <v>1.125</v>
      </c>
      <c r="G658" s="97" t="n">
        <v>36.19</v>
      </c>
    </row>
    <row r="659">
      <c r="C659" s="100" t="n"/>
      <c r="D659" s="96" t="inlineStr">
        <is>
          <t>8029920.0:SAREL APPAREILLAGE ELECTRIQUE - 0.0x589.0x1.8</t>
        </is>
      </c>
      <c r="E659" s="96" t="n">
        <v>0.01</v>
      </c>
      <c r="F659" s="96" t="n">
        <v>0.875</v>
      </c>
      <c r="G659" s="97" t="n">
        <v>12.41</v>
      </c>
    </row>
    <row r="660">
      <c r="C660" s="100" t="n"/>
      <c r="D660" s="96" t="inlineStr">
        <is>
          <t>8029921.0:SAREL APPAREILLAGE ELECTRIQUE - 0.0x840.0x1.0</t>
        </is>
      </c>
      <c r="E660" s="96" t="n">
        <v>0.03</v>
      </c>
      <c r="F660" s="96" t="n">
        <v>2.25</v>
      </c>
      <c r="G660" s="97" t="n">
        <v>10.54</v>
      </c>
    </row>
    <row r="661">
      <c r="C661" s="100" t="n"/>
      <c r="D661" s="96" t="inlineStr">
        <is>
          <t>8029930.0:SAREL APPAREILLAGE ELECTRIQUE - 0.0x1040.0x1.0</t>
        </is>
      </c>
      <c r="E661" s="96" t="n">
        <v>0.02</v>
      </c>
      <c r="F661" s="96" t="n">
        <v>1.25</v>
      </c>
      <c r="G661" s="97" t="n">
        <v>8.93</v>
      </c>
    </row>
    <row r="662">
      <c r="C662" s="100" t="n"/>
      <c r="D662" s="96" t="inlineStr">
        <is>
          <t>8029916.0:SAREL APPAREILLAGE ELECTRIQUE - 0.0x789.0x1.8</t>
        </is>
      </c>
      <c r="E662" s="96" t="n">
        <v>0.02</v>
      </c>
      <c r="F662" s="96" t="n">
        <v>2.25</v>
      </c>
      <c r="G662" s="97" t="n">
        <v>15.75</v>
      </c>
    </row>
    <row r="663">
      <c r="C663" s="100" t="n"/>
      <c r="D663" s="96" t="inlineStr">
        <is>
          <t>8029917.0:SAREL APPAREILLAGE ELECTRIQUE - 0.0x989.0x1.8</t>
        </is>
      </c>
      <c r="E663" s="96" t="n">
        <v>0.01</v>
      </c>
      <c r="F663" s="96" t="n">
        <v>1.25</v>
      </c>
      <c r="G663" s="97" t="n">
        <v>13.77</v>
      </c>
    </row>
    <row r="664">
      <c r="C664" s="100" t="n"/>
      <c r="D664" s="96" t="inlineStr">
        <is>
          <t>8029893.0:SAREL APPAREILLAGE ELECTRIQUE - 0.0x940.0x1.0</t>
        </is>
      </c>
      <c r="E664" s="96" t="n">
        <v>0.02</v>
      </c>
      <c r="F664" s="96" t="n">
        <v>2</v>
      </c>
      <c r="G664" s="97" t="n">
        <v>10.72</v>
      </c>
    </row>
    <row r="665">
      <c r="C665" s="100" t="n"/>
      <c r="D665" s="96" t="inlineStr">
        <is>
          <t>8029928.0:SAREL APPAREILLAGE ELECTRIQUE - 0.0x447.0x1.0</t>
        </is>
      </c>
      <c r="E665" s="96" t="n">
        <v>0.01</v>
      </c>
      <c r="F665" s="96" t="n">
        <v>0.625</v>
      </c>
      <c r="G665" s="97" t="n">
        <v>11.38</v>
      </c>
    </row>
    <row r="666">
      <c r="C666" s="100" t="n"/>
      <c r="D666" s="101" t="inlineStr">
        <is>
          <t>8029927.0:SAREL APPAREILLAGE ELECTRIQUE - 0.0x347.0x1.0</t>
        </is>
      </c>
      <c r="E666" s="101" t="n">
        <v>0</v>
      </c>
      <c r="F666" s="101" t="n">
        <v>0.4</v>
      </c>
      <c r="G666" s="102" t="n">
        <v>17.4</v>
      </c>
    </row>
    <row r="667">
      <c r="C667" s="103" t="n"/>
      <c r="D667" s="104" t="inlineStr">
        <is>
          <t>8106250.0:GESTAMP NOURY S.A. - 0.0x157.3x1.8</t>
        </is>
      </c>
      <c r="E667" s="104" t="n">
        <v>0.17</v>
      </c>
      <c r="F667" s="104" t="n">
        <v>28.977</v>
      </c>
      <c r="G667" s="105" t="n">
        <v>22.7</v>
      </c>
    </row>
    <row r="671">
      <c r="C671" s="92" t="inlineStr">
        <is>
          <t>Details for : R1 serie - Postes Forecast W1</t>
        </is>
      </c>
      <c r="D671" s="93" t="inlineStr">
        <is>
          <t>Article : Client - Length x Width x Thickness</t>
        </is>
      </c>
      <c r="E671" s="93" t="inlineStr">
        <is>
          <t>Postes</t>
        </is>
      </c>
      <c r="F671" s="93" t="inlineStr">
        <is>
          <t>Tonnes</t>
        </is>
      </c>
      <c r="G671" s="94" t="inlineStr">
        <is>
          <t>Productivity</t>
        </is>
      </c>
    </row>
    <row r="672">
      <c r="C672" s="95" t="inlineStr">
        <is>
          <t>Sum Tonnes : 391.69</t>
        </is>
      </c>
      <c r="D672" s="96" t="inlineStr">
        <is>
          <t>8023365.0:BAOMARC - 0.0x248.6x1.2</t>
        </is>
      </c>
      <c r="E672" s="96" t="n">
        <v>0.16</v>
      </c>
      <c r="F672" s="96" t="n">
        <v>23.54</v>
      </c>
      <c r="G672" s="97" t="n">
        <v>19.23</v>
      </c>
    </row>
    <row r="673">
      <c r="C673" s="95" t="inlineStr">
        <is>
          <t>Sum Postes : 2.24</t>
        </is>
      </c>
      <c r="D673" s="96" t="inlineStr">
        <is>
          <t>8053691.0:VIESSMANN FAULQUEMONT SAS - 0.0x630.0x2.5</t>
        </is>
      </c>
      <c r="E673" s="96" t="n">
        <v>0.11</v>
      </c>
      <c r="F673" s="96" t="n">
        <v>25</v>
      </c>
      <c r="G673" s="97" t="n">
        <v>30.39</v>
      </c>
    </row>
    <row r="674">
      <c r="C674" s="95" t="inlineStr">
        <is>
          <t>Average Productivity : 18.33</t>
        </is>
      </c>
      <c r="D674" s="96" t="inlineStr">
        <is>
          <t>8033009.0:SIMPSON STRONG-TIE SAS - 0.0x214.0x3.0</t>
        </is>
      </c>
      <c r="E674" s="96" t="n">
        <v>0.04</v>
      </c>
      <c r="F674" s="96" t="n">
        <v>5.5</v>
      </c>
      <c r="G674" s="97" t="n">
        <v>18.19</v>
      </c>
    </row>
    <row r="675">
      <c r="C675" s="100" t="n"/>
      <c r="D675" s="96" t="inlineStr">
        <is>
          <t>8114436.0:GESTAMP NOURY S.A. - 0.0x911.0x2.0</t>
        </is>
      </c>
      <c r="E675" s="96" t="n">
        <v>0.09</v>
      </c>
      <c r="F675" s="96" t="n">
        <v>2.7</v>
      </c>
      <c r="G675" s="97" t="n">
        <v>4.04</v>
      </c>
    </row>
    <row r="676">
      <c r="C676" s="100" t="n"/>
      <c r="D676" s="96" t="inlineStr">
        <is>
          <t>8011976.0:MAGNA LORRAINE - 0.0x705.0x3.5</t>
        </is>
      </c>
      <c r="E676" s="96" t="n">
        <v>0.06</v>
      </c>
      <c r="F676" s="96" t="n">
        <v>12</v>
      </c>
      <c r="G676" s="97" t="n">
        <v>25.02</v>
      </c>
    </row>
    <row r="677">
      <c r="C677" s="100" t="n"/>
      <c r="D677" s="96" t="inlineStr">
        <is>
          <t>8017856.0:MA POLSKA - 0.0x293.5x0.95</t>
        </is>
      </c>
      <c r="E677" s="96" t="n">
        <v>0.13</v>
      </c>
      <c r="F677" s="96" t="n">
        <v>21</v>
      </c>
      <c r="G677" s="97" t="n">
        <v>21.17</v>
      </c>
    </row>
    <row r="678">
      <c r="C678" s="100" t="n"/>
      <c r="D678" s="96" t="inlineStr">
        <is>
          <t>8027664.0:SNOP VILLEPINTE - 0.0x212.8x1.15</t>
        </is>
      </c>
      <c r="E678" s="96" t="n">
        <v>0.27</v>
      </c>
      <c r="F678" s="96" t="n">
        <v>57.6</v>
      </c>
      <c r="G678" s="97" t="n">
        <v>28.95</v>
      </c>
    </row>
    <row r="679">
      <c r="C679" s="100" t="n"/>
      <c r="D679" s="96" t="inlineStr">
        <is>
          <t>8027662.0:SNOP VILLEPINTE - 0.0x101.5x1.05</t>
        </is>
      </c>
      <c r="E679" s="96" t="n">
        <v>0.15</v>
      </c>
      <c r="F679" s="96" t="n">
        <v>20.4</v>
      </c>
      <c r="G679" s="97" t="n">
        <v>17.64</v>
      </c>
    </row>
    <row r="680">
      <c r="C680" s="100" t="n"/>
      <c r="D680" s="96" t="inlineStr">
        <is>
          <t>8027928.0:MA SRL - 0.0x320.0x1.4</t>
        </is>
      </c>
      <c r="E680" s="96" t="n">
        <v>0.14</v>
      </c>
      <c r="F680" s="96" t="n">
        <v>25</v>
      </c>
      <c r="G680" s="97" t="n">
        <v>23.34</v>
      </c>
    </row>
    <row r="681">
      <c r="C681" s="100" t="n"/>
      <c r="D681" s="96" t="inlineStr">
        <is>
          <t>8050618.0:MA POLSKA - 0.0x320.0x1.4</t>
        </is>
      </c>
      <c r="E681" s="96" t="n">
        <v>0.13</v>
      </c>
      <c r="F681" s="96" t="n">
        <v>22</v>
      </c>
      <c r="G681" s="97" t="n">
        <v>23.18</v>
      </c>
    </row>
    <row r="682">
      <c r="C682" s="100" t="n"/>
      <c r="D682" s="98" t="inlineStr">
        <is>
          <t>8061680.0:SNOP VILLEPINTE - 0.0x298.8x1.05</t>
        </is>
      </c>
      <c r="E682" s="98" t="n">
        <v>0.33</v>
      </c>
      <c r="F682" s="98" t="n">
        <v>77.40000000000001</v>
      </c>
      <c r="G682" s="99" t="n">
        <v>31.35</v>
      </c>
    </row>
    <row r="683">
      <c r="C683" s="100" t="n"/>
      <c r="D683" s="96" t="inlineStr">
        <is>
          <t>8061732.0:SNOP VILLEPINTE - 0.0x302.3x1.2</t>
        </is>
      </c>
      <c r="E683" s="96" t="n">
        <v>0.24</v>
      </c>
      <c r="F683" s="96" t="n">
        <v>46.2</v>
      </c>
      <c r="G683" s="97" t="n">
        <v>26.19</v>
      </c>
    </row>
    <row r="684">
      <c r="C684" s="100" t="n"/>
      <c r="D684" s="96" t="inlineStr">
        <is>
          <t>8068011.0:RENAULT SAS - 0.0x290.0x4.5</t>
        </is>
      </c>
      <c r="E684" s="96" t="n">
        <v>0.1</v>
      </c>
      <c r="F684" s="96" t="n">
        <v>20.8</v>
      </c>
      <c r="G684" s="97" t="n">
        <v>27.5</v>
      </c>
    </row>
    <row r="685">
      <c r="C685" s="100" t="n"/>
      <c r="D685" s="96" t="inlineStr">
        <is>
          <t>8029911.0:SAREL APPAREILLAGE ELECTRIQUE - 0.0x821.5x1.5</t>
        </is>
      </c>
      <c r="E685" s="96" t="n">
        <v>0.01</v>
      </c>
      <c r="F685" s="96" t="n">
        <v>1.075</v>
      </c>
      <c r="G685" s="97" t="n">
        <v>18.03</v>
      </c>
    </row>
    <row r="686">
      <c r="C686" s="100" t="n"/>
      <c r="D686" s="96" t="inlineStr">
        <is>
          <t>8029912.0:SAREL APPAREILLAGE ELECTRIQUE - 0.0x1046.0x1.5</t>
        </is>
      </c>
      <c r="E686" s="96" t="n">
        <v>0.02</v>
      </c>
      <c r="F686" s="96" t="n">
        <v>2.5</v>
      </c>
      <c r="G686" s="97" t="n">
        <v>15.39</v>
      </c>
    </row>
    <row r="687">
      <c r="C687" s="100" t="n"/>
      <c r="D687" s="96" t="inlineStr">
        <is>
          <t>8029910.0:SAREL APPAREILLAGE ELECTRIQUE - 0.0x621.5x1.5</t>
        </is>
      </c>
      <c r="E687" s="96" t="n">
        <v>0.02</v>
      </c>
      <c r="F687" s="96" t="n">
        <v>0.8</v>
      </c>
      <c r="G687" s="97" t="n">
        <v>6.76</v>
      </c>
    </row>
    <row r="688">
      <c r="C688" s="100" t="n"/>
      <c r="D688" s="96" t="inlineStr">
        <is>
          <t>8029913.0:SAREL APPAREILLAGE ELECTRIQUE - 0.0x1246.0x1.5</t>
        </is>
      </c>
      <c r="E688" s="96" t="n">
        <v>0</v>
      </c>
      <c r="F688" s="96" t="n">
        <v>1.125</v>
      </c>
      <c r="G688" s="97" t="n">
        <v>36.19</v>
      </c>
    </row>
    <row r="689">
      <c r="C689" s="100" t="n"/>
      <c r="D689" s="96" t="inlineStr">
        <is>
          <t>8029920.0:SAREL APPAREILLAGE ELECTRIQUE - 0.0x589.0x1.8</t>
        </is>
      </c>
      <c r="E689" s="96" t="n">
        <v>0.01</v>
      </c>
      <c r="F689" s="96" t="n">
        <v>0.875</v>
      </c>
      <c r="G689" s="97" t="n">
        <v>12.41</v>
      </c>
    </row>
    <row r="690">
      <c r="C690" s="100" t="n"/>
      <c r="D690" s="96" t="inlineStr">
        <is>
          <t>8029921.0:SAREL APPAREILLAGE ELECTRIQUE - 0.0x840.0x1.0</t>
        </is>
      </c>
      <c r="E690" s="96" t="n">
        <v>0.03</v>
      </c>
      <c r="F690" s="96" t="n">
        <v>2.25</v>
      </c>
      <c r="G690" s="97" t="n">
        <v>10.54</v>
      </c>
    </row>
    <row r="691">
      <c r="C691" s="100" t="n"/>
      <c r="D691" s="96" t="inlineStr">
        <is>
          <t>8029907.0:SAREL APPAREILLAGE ELECTRIQUE - 0.0x1021.5x1.5</t>
        </is>
      </c>
      <c r="E691" s="96" t="n">
        <v>0.01</v>
      </c>
      <c r="F691" s="96" t="n">
        <v>1.1</v>
      </c>
      <c r="G691" s="97" t="n">
        <v>10.51</v>
      </c>
    </row>
    <row r="692">
      <c r="C692" s="100" t="n"/>
      <c r="D692" s="96" t="inlineStr">
        <is>
          <t>8029930.0:SAREL APPAREILLAGE ELECTRIQUE - 0.0x1040.0x1.0</t>
        </is>
      </c>
      <c r="E692" s="96" t="n">
        <v>0.02</v>
      </c>
      <c r="F692" s="96" t="n">
        <v>1.25</v>
      </c>
      <c r="G692" s="97" t="n">
        <v>8.93</v>
      </c>
    </row>
    <row r="693">
      <c r="C693" s="100" t="n"/>
      <c r="D693" s="96" t="inlineStr">
        <is>
          <t>8029916.0:SAREL APPAREILLAGE ELECTRIQUE - 0.0x789.0x1.8</t>
        </is>
      </c>
      <c r="E693" s="96" t="n">
        <v>0.02</v>
      </c>
      <c r="F693" s="96" t="n">
        <v>2.25</v>
      </c>
      <c r="G693" s="97" t="n">
        <v>15.75</v>
      </c>
    </row>
    <row r="694">
      <c r="C694" s="100" t="n"/>
      <c r="D694" s="96" t="inlineStr">
        <is>
          <t>8029917.0:SAREL APPAREILLAGE ELECTRIQUE - 0.0x989.0x1.8</t>
        </is>
      </c>
      <c r="E694" s="96" t="n">
        <v>0.01</v>
      </c>
      <c r="F694" s="96" t="n">
        <v>1.25</v>
      </c>
      <c r="G694" s="97" t="n">
        <v>13.77</v>
      </c>
    </row>
    <row r="695">
      <c r="C695" s="100" t="n"/>
      <c r="D695" s="96" t="inlineStr">
        <is>
          <t>8029893.0:SAREL APPAREILLAGE ELECTRIQUE - 0.0x940.0x1.0</t>
        </is>
      </c>
      <c r="E695" s="96" t="n">
        <v>0.02</v>
      </c>
      <c r="F695" s="96" t="n">
        <v>2</v>
      </c>
      <c r="G695" s="97" t="n">
        <v>10.72</v>
      </c>
    </row>
    <row r="696">
      <c r="C696" s="100" t="n"/>
      <c r="D696" s="96" t="inlineStr">
        <is>
          <t>8029928.0:SAREL APPAREILLAGE ELECTRIQUE - 0.0x447.0x1.0</t>
        </is>
      </c>
      <c r="E696" s="96" t="n">
        <v>0.01</v>
      </c>
      <c r="F696" s="96" t="n">
        <v>0.625</v>
      </c>
      <c r="G696" s="97" t="n">
        <v>11.38</v>
      </c>
    </row>
    <row r="697">
      <c r="C697" s="100" t="n"/>
      <c r="D697" s="101" t="inlineStr">
        <is>
          <t>8029927.0:SAREL APPAREILLAGE ELECTRIQUE - 0.0x347.0x1.0</t>
        </is>
      </c>
      <c r="E697" s="101" t="n">
        <v>0</v>
      </c>
      <c r="F697" s="101" t="n">
        <v>0.4</v>
      </c>
      <c r="G697" s="102" t="n">
        <v>17.4</v>
      </c>
    </row>
    <row r="698">
      <c r="C698" s="100" t="n"/>
      <c r="D698" s="96" t="inlineStr">
        <is>
          <t>8106250.0:GESTAMP NOURY S.A. - 0.0x157.3x1.8</t>
        </is>
      </c>
      <c r="E698" s="96" t="n">
        <v>0.06</v>
      </c>
      <c r="F698" s="96" t="n">
        <v>10.051</v>
      </c>
      <c r="G698" s="97" t="n">
        <v>22.7</v>
      </c>
    </row>
    <row r="699">
      <c r="C699" s="103" t="n"/>
      <c r="D699" s="104" t="inlineStr">
        <is>
          <t>8106440.0:MAGNA LORRAINE - 0.0x590.0x0.6</t>
        </is>
      </c>
      <c r="E699" s="104" t="n">
        <v>0.05</v>
      </c>
      <c r="F699" s="104" t="n">
        <v>5</v>
      </c>
      <c r="G699" s="105" t="n">
        <v>14.02</v>
      </c>
    </row>
    <row r="703">
      <c r="C703" s="92" t="inlineStr">
        <is>
          <t>Details for : R1 serie - Postes Forecast W2</t>
        </is>
      </c>
      <c r="D703" s="93" t="inlineStr">
        <is>
          <t>Article : Client - Length x Width x Thickness</t>
        </is>
      </c>
      <c r="E703" s="93" t="inlineStr">
        <is>
          <t>Postes</t>
        </is>
      </c>
      <c r="F703" s="93" t="inlineStr">
        <is>
          <t>Tonnes</t>
        </is>
      </c>
      <c r="G703" s="94" t="inlineStr">
        <is>
          <t>Productivity</t>
        </is>
      </c>
    </row>
    <row r="704">
      <c r="C704" s="95" t="inlineStr">
        <is>
          <t>Sum Tonnes : 905.37</t>
        </is>
      </c>
      <c r="D704" s="96" t="inlineStr">
        <is>
          <t>8048886.0:LEBRAUT RICHARD DECOUPAGE SAS - 0.0x387.0x1.5</t>
        </is>
      </c>
      <c r="E704" s="96" t="n">
        <v>0.4</v>
      </c>
      <c r="F704" s="96" t="n">
        <v>25</v>
      </c>
      <c r="G704" s="97" t="n">
        <v>8.43</v>
      </c>
    </row>
    <row r="705">
      <c r="C705" s="95" t="inlineStr">
        <is>
          <t>Sum Postes : 6.72</t>
        </is>
      </c>
      <c r="D705" s="96" t="inlineStr">
        <is>
          <t>8029597.0:VIESSMANN FAULQUEMONT SAS - 0.0x576.0x3.5</t>
        </is>
      </c>
      <c r="E705" s="96" t="n">
        <v>0.1</v>
      </c>
      <c r="F705" s="96" t="n">
        <v>20</v>
      </c>
      <c r="G705" s="97" t="n">
        <v>26.31</v>
      </c>
    </row>
    <row r="706">
      <c r="C706" s="95" t="inlineStr">
        <is>
          <t>Average Productivity : 18.33</t>
        </is>
      </c>
      <c r="D706" s="96" t="inlineStr">
        <is>
          <t>8033596.0:SIMPSON STRONG-TIE SAS - 0.0x300.0x2.5</t>
        </is>
      </c>
      <c r="E706" s="96" t="n">
        <v>0.18</v>
      </c>
      <c r="F706" s="96" t="n">
        <v>19.9</v>
      </c>
      <c r="G706" s="97" t="n">
        <v>14.83</v>
      </c>
    </row>
    <row r="707">
      <c r="C707" s="100" t="n"/>
      <c r="D707" s="96" t="inlineStr">
        <is>
          <t>8042388.0:SIMPSON STRONG-TIE SAS - 0.0x275.0x3.0</t>
        </is>
      </c>
      <c r="E707" s="96" t="n">
        <v>0.16</v>
      </c>
      <c r="F707" s="96" t="n">
        <v>36.3</v>
      </c>
      <c r="G707" s="97" t="n">
        <v>30.28</v>
      </c>
    </row>
    <row r="708">
      <c r="C708" s="100" t="n"/>
      <c r="D708" s="96" t="inlineStr">
        <is>
          <t>8040826.0:SIMPSON STRONG-TIE SAS - 0.0x120.0x2.5</t>
        </is>
      </c>
      <c r="E708" s="96" t="n">
        <v>0.01</v>
      </c>
      <c r="F708" s="96" t="n">
        <v>1.7</v>
      </c>
      <c r="G708" s="97" t="n">
        <v>21.26</v>
      </c>
    </row>
    <row r="709">
      <c r="C709" s="100" t="n"/>
      <c r="D709" s="96" t="inlineStr">
        <is>
          <t>8040826.0:SIMPSON STRONG-TIE SAS - 0.0x120.0x2.5</t>
        </is>
      </c>
      <c r="E709" s="96" t="n">
        <v>0.09</v>
      </c>
      <c r="F709" s="96" t="n">
        <v>15</v>
      </c>
      <c r="G709" s="97" t="n">
        <v>21.26</v>
      </c>
    </row>
    <row r="710">
      <c r="C710" s="100" t="n"/>
      <c r="D710" s="96" t="inlineStr">
        <is>
          <t>8040825.0:SIMPSON STRONG-TIE SAS - 0.0x160.0x2.5</t>
        </is>
      </c>
      <c r="E710" s="96" t="n">
        <v>0.12</v>
      </c>
      <c r="F710" s="96" t="n">
        <v>14.4</v>
      </c>
      <c r="G710" s="97" t="n">
        <v>15.69</v>
      </c>
    </row>
    <row r="711">
      <c r="C711" s="100" t="n"/>
      <c r="D711" s="96" t="inlineStr">
        <is>
          <t>8040825.0:SIMPSON STRONG-TIE SAS - 0.0x160.0x2.5</t>
        </is>
      </c>
      <c r="E711" s="96" t="n">
        <v>0.12</v>
      </c>
      <c r="F711" s="96" t="n">
        <v>14.3</v>
      </c>
      <c r="G711" s="97" t="n">
        <v>15.69</v>
      </c>
    </row>
    <row r="712">
      <c r="C712" s="100" t="n"/>
      <c r="D712" s="96" t="inlineStr">
        <is>
          <t>8048807.0:SIMPSON STRONG-TIE SAS - 0.0x600.0x2.0</t>
        </is>
      </c>
      <c r="E712" s="96" t="n">
        <v>0.07000000000000001</v>
      </c>
      <c r="F712" s="96" t="n">
        <v>10</v>
      </c>
      <c r="G712" s="97" t="n">
        <v>19.98</v>
      </c>
    </row>
    <row r="713">
      <c r="C713" s="100" t="n"/>
      <c r="D713" s="96" t="inlineStr">
        <is>
          <t>8011976.0:MAGNA LORRAINE - 0.0x705.0x3.5</t>
        </is>
      </c>
      <c r="E713" s="96" t="n">
        <v>0.23</v>
      </c>
      <c r="F713" s="96" t="n">
        <v>44</v>
      </c>
      <c r="G713" s="97" t="n">
        <v>25.02</v>
      </c>
    </row>
    <row r="714">
      <c r="C714" s="100" t="n"/>
      <c r="D714" s="96" t="inlineStr">
        <is>
          <t>8013866.0:MA SRL - 0.0x265.0x0.95</t>
        </is>
      </c>
      <c r="E714" s="96" t="n">
        <v>0.4</v>
      </c>
      <c r="F714" s="96" t="n">
        <v>44</v>
      </c>
      <c r="G714" s="97" t="n">
        <v>14.83</v>
      </c>
    </row>
    <row r="715">
      <c r="C715" s="100" t="n"/>
      <c r="D715" s="96" t="inlineStr">
        <is>
          <t>8012019.0:STEEL CENTER EUROPE S.R.O. - 0.0x158.0x4.0</t>
        </is>
      </c>
      <c r="E715" s="96" t="n">
        <v>0.38</v>
      </c>
      <c r="F715" s="96" t="n">
        <v>30</v>
      </c>
      <c r="G715" s="97" t="n">
        <v>10.39</v>
      </c>
    </row>
    <row r="716">
      <c r="C716" s="100" t="n"/>
      <c r="D716" s="96" t="inlineStr">
        <is>
          <t>8012047.0:STEEL CENTER EUROPE S.R.O. - 0.0x218.0x4.0</t>
        </is>
      </c>
      <c r="E716" s="96" t="n">
        <v>0.25</v>
      </c>
      <c r="F716" s="96" t="n">
        <v>30</v>
      </c>
      <c r="G716" s="97" t="n">
        <v>16.12</v>
      </c>
    </row>
    <row r="717">
      <c r="C717" s="100" t="n"/>
      <c r="D717" s="96" t="inlineStr">
        <is>
          <t>8012020.0:STEEL CENTER EUROPE S.R.O. - 0.0x312.0x4.0</t>
        </is>
      </c>
      <c r="E717" s="96" t="n">
        <v>0.17</v>
      </c>
      <c r="F717" s="96" t="n">
        <v>15</v>
      </c>
      <c r="G717" s="97" t="n">
        <v>11.74</v>
      </c>
    </row>
    <row r="718">
      <c r="C718" s="100" t="n"/>
      <c r="D718" s="96" t="inlineStr">
        <is>
          <t>8013898.0:GESTAMP NOURY S.A. - 0.0x289.3x1.5</t>
        </is>
      </c>
      <c r="E718" s="96" t="n">
        <v>0.13</v>
      </c>
      <c r="F718" s="96" t="n">
        <v>18</v>
      </c>
      <c r="G718" s="97" t="n">
        <v>18.88</v>
      </c>
    </row>
    <row r="719">
      <c r="C719" s="100" t="n"/>
      <c r="D719" s="96" t="inlineStr">
        <is>
          <t>8014488.0:TRICO BELGIUM SA - 0.0x120.0x1.48</t>
        </is>
      </c>
      <c r="E719" s="96" t="n">
        <v>0.25</v>
      </c>
      <c r="F719" s="96" t="n">
        <v>25</v>
      </c>
      <c r="G719" s="97" t="n">
        <v>13.52</v>
      </c>
    </row>
    <row r="720">
      <c r="C720" s="100" t="n"/>
      <c r="D720" s="96" t="inlineStr">
        <is>
          <t>8017856.0:MA POLSKA - 0.0x293.5x0.95</t>
        </is>
      </c>
      <c r="E720" s="96" t="n">
        <v>0.31</v>
      </c>
      <c r="F720" s="96" t="n">
        <v>50</v>
      </c>
      <c r="G720" s="97" t="n">
        <v>21.17</v>
      </c>
    </row>
    <row r="721">
      <c r="C721" s="100" t="n"/>
      <c r="D721" s="96" t="inlineStr">
        <is>
          <t>8027664.0:SNOP VILLEPINTE - 0.0x212.8x1.15</t>
        </is>
      </c>
      <c r="E721" s="96" t="n">
        <v>0.25</v>
      </c>
      <c r="F721" s="96" t="n">
        <v>54</v>
      </c>
      <c r="G721" s="97" t="n">
        <v>28.95</v>
      </c>
    </row>
    <row r="722">
      <c r="C722" s="100" t="n"/>
      <c r="D722" s="96" t="inlineStr">
        <is>
          <t>8027662.0:SNOP VILLEPINTE - 0.0x101.5x1.05</t>
        </is>
      </c>
      <c r="E722" s="96" t="n">
        <v>0.11</v>
      </c>
      <c r="F722" s="96" t="n">
        <v>15.1</v>
      </c>
      <c r="G722" s="97" t="n">
        <v>17.64</v>
      </c>
    </row>
    <row r="723">
      <c r="C723" s="100" t="n"/>
      <c r="D723" s="96" t="inlineStr">
        <is>
          <t>8027928.0:MA SRL - 0.0x320.0x1.4</t>
        </is>
      </c>
      <c r="E723" s="96" t="n">
        <v>0.29</v>
      </c>
      <c r="F723" s="96" t="n">
        <v>50</v>
      </c>
      <c r="G723" s="97" t="n">
        <v>23.34</v>
      </c>
    </row>
    <row r="724">
      <c r="C724" s="100" t="n"/>
      <c r="D724" s="96" t="inlineStr">
        <is>
          <t>8008096.0:GESTAMP NOURY S.A. - 0.0x260.4x1.5</t>
        </is>
      </c>
      <c r="E724" s="96" t="n">
        <v>0.36</v>
      </c>
      <c r="F724" s="96" t="n">
        <v>62.795</v>
      </c>
      <c r="G724" s="97" t="n">
        <v>23.04</v>
      </c>
    </row>
    <row r="725">
      <c r="C725" s="100" t="n"/>
      <c r="D725" s="96" t="inlineStr">
        <is>
          <t>8041076.0:MA SRL - 0.0x301.0x1.3</t>
        </is>
      </c>
      <c r="E725" s="96" t="n">
        <v>0.14</v>
      </c>
      <c r="F725" s="96" t="n">
        <v>25</v>
      </c>
      <c r="G725" s="97" t="n">
        <v>24.11</v>
      </c>
    </row>
    <row r="726">
      <c r="C726" s="100" t="n"/>
      <c r="D726" s="96" t="inlineStr">
        <is>
          <t>8050618.0:MA POLSKA - 0.0x320.0x1.4</t>
        </is>
      </c>
      <c r="E726" s="96" t="n">
        <v>0.25</v>
      </c>
      <c r="F726" s="96" t="n">
        <v>44</v>
      </c>
      <c r="G726" s="97" t="n">
        <v>23.18</v>
      </c>
    </row>
    <row r="727">
      <c r="C727" s="100" t="n"/>
      <c r="D727" s="98" t="inlineStr">
        <is>
          <t>8061680.0:SNOP VILLEPINTE - 0.0x298.8x1.05</t>
        </is>
      </c>
      <c r="E727" s="98" t="n">
        <v>0.29</v>
      </c>
      <c r="F727" s="98" t="n">
        <v>68.8</v>
      </c>
      <c r="G727" s="99" t="n">
        <v>31.35</v>
      </c>
    </row>
    <row r="728">
      <c r="C728" s="100" t="n"/>
      <c r="D728" s="96" t="inlineStr">
        <is>
          <t>8061732.0:SNOP VILLEPINTE - 0.0x302.3x1.2</t>
        </is>
      </c>
      <c r="E728" s="96" t="n">
        <v>0.11</v>
      </c>
      <c r="F728" s="96" t="n">
        <v>21</v>
      </c>
      <c r="G728" s="97" t="n">
        <v>26.19</v>
      </c>
    </row>
    <row r="729">
      <c r="C729" s="100" t="n"/>
      <c r="D729" s="96" t="inlineStr">
        <is>
          <t>8029922.0:SAREL APPAREILLAGE ELECTRIQUE - 0.0x1139.0x1.15</t>
        </is>
      </c>
      <c r="E729" s="96" t="n">
        <v>0.05</v>
      </c>
      <c r="F729" s="96" t="n">
        <v>5</v>
      </c>
      <c r="G729" s="97" t="n">
        <v>12.45</v>
      </c>
    </row>
    <row r="730">
      <c r="C730" s="100" t="n"/>
      <c r="D730" s="96" t="inlineStr">
        <is>
          <t>8052108.0:SAREL APPAREILLAGE ELECTRIQUE - 0.0x150.4x1.2</t>
        </is>
      </c>
      <c r="E730" s="96" t="n">
        <v>0.32</v>
      </c>
      <c r="F730" s="96" t="n">
        <v>50</v>
      </c>
      <c r="G730" s="97" t="n">
        <v>21.07</v>
      </c>
    </row>
    <row r="731">
      <c r="C731" s="100" t="n"/>
      <c r="D731" s="96" t="inlineStr">
        <is>
          <t>8029911.0:SAREL APPAREILLAGE ELECTRIQUE - 0.0x821.5x1.5</t>
        </is>
      </c>
      <c r="E731" s="96" t="n">
        <v>0.02</v>
      </c>
      <c r="F731" s="96" t="n">
        <v>2.15</v>
      </c>
      <c r="G731" s="97" t="n">
        <v>18.03</v>
      </c>
    </row>
    <row r="732">
      <c r="C732" s="100" t="n"/>
      <c r="D732" s="96" t="inlineStr">
        <is>
          <t>8029912.0:SAREL APPAREILLAGE ELECTRIQUE - 0.0x1046.0x1.5</t>
        </is>
      </c>
      <c r="E732" s="96" t="n">
        <v>0.02</v>
      </c>
      <c r="F732" s="96" t="n">
        <v>2.5</v>
      </c>
      <c r="G732" s="97" t="n">
        <v>15.39</v>
      </c>
    </row>
    <row r="733">
      <c r="C733" s="100" t="n"/>
      <c r="D733" s="96" t="inlineStr">
        <is>
          <t>8029931.0:SAREL APPAREILLAGE ELECTRIQUE - 0.0x521.5x1.5</t>
        </is>
      </c>
      <c r="E733" s="96" t="n">
        <v>0.01</v>
      </c>
      <c r="F733" s="96" t="n">
        <v>0.75</v>
      </c>
      <c r="G733" s="97" t="n">
        <v>8.08</v>
      </c>
    </row>
    <row r="734">
      <c r="C734" s="100" t="n"/>
      <c r="D734" s="96" t="inlineStr">
        <is>
          <t>8029910.0:SAREL APPAREILLAGE ELECTRIQUE - 0.0x621.5x1.5</t>
        </is>
      </c>
      <c r="E734" s="96" t="n">
        <v>0.05</v>
      </c>
      <c r="F734" s="96" t="n">
        <v>2.4</v>
      </c>
      <c r="G734" s="97" t="n">
        <v>6.76</v>
      </c>
    </row>
    <row r="735">
      <c r="C735" s="100" t="n"/>
      <c r="D735" s="96" t="inlineStr">
        <is>
          <t>8029913.0:SAREL APPAREILLAGE ELECTRIQUE - 0.0x1246.0x1.5</t>
        </is>
      </c>
      <c r="E735" s="96" t="n">
        <v>0</v>
      </c>
      <c r="F735" s="96" t="n">
        <v>1.125</v>
      </c>
      <c r="G735" s="97" t="n">
        <v>36.19</v>
      </c>
    </row>
    <row r="736">
      <c r="C736" s="100" t="n"/>
      <c r="D736" s="96" t="inlineStr">
        <is>
          <t>8029909.0:SAREL APPAREILLAGE ELECTRIQUE - 0.0x421.5x1.5</t>
        </is>
      </c>
      <c r="E736" s="96" t="n">
        <v>0.02</v>
      </c>
      <c r="F736" s="96" t="n">
        <v>2.5</v>
      </c>
      <c r="G736" s="97" t="n">
        <v>16.65</v>
      </c>
    </row>
    <row r="737">
      <c r="C737" s="100" t="n"/>
      <c r="D737" s="96" t="inlineStr">
        <is>
          <t>8029920.0:SAREL APPAREILLAGE ELECTRIQUE - 0.0x589.0x1.8</t>
        </is>
      </c>
      <c r="E737" s="96" t="n">
        <v>0.03</v>
      </c>
      <c r="F737" s="96" t="n">
        <v>2.625</v>
      </c>
      <c r="G737" s="97" t="n">
        <v>12.41</v>
      </c>
    </row>
    <row r="738">
      <c r="C738" s="100" t="n"/>
      <c r="D738" s="96" t="inlineStr">
        <is>
          <t>8040446.0:SAREL APPAREILLAGE ELECTRIQUE - 0.0x797.0x2.5</t>
        </is>
      </c>
      <c r="E738" s="96" t="n">
        <v>0.68</v>
      </c>
      <c r="F738" s="96" t="n">
        <v>44</v>
      </c>
      <c r="G738" s="97" t="n">
        <v>8.609999999999999</v>
      </c>
    </row>
    <row r="739">
      <c r="C739" s="100" t="n"/>
      <c r="D739" s="96" t="inlineStr">
        <is>
          <t>8029921.0:SAREL APPAREILLAGE ELECTRIQUE - 0.0x840.0x1.0</t>
        </is>
      </c>
      <c r="E739" s="96" t="n">
        <v>0.03</v>
      </c>
      <c r="F739" s="96" t="n">
        <v>2.25</v>
      </c>
      <c r="G739" s="97" t="n">
        <v>10.54</v>
      </c>
    </row>
    <row r="740">
      <c r="C740" s="100" t="n"/>
      <c r="D740" s="96" t="inlineStr">
        <is>
          <t>8029907.0:SAREL APPAREILLAGE ELECTRIQUE - 0.0x1021.5x1.5</t>
        </is>
      </c>
      <c r="E740" s="96" t="n">
        <v>0.01</v>
      </c>
      <c r="F740" s="96" t="n">
        <v>1.1</v>
      </c>
      <c r="G740" s="97" t="n">
        <v>10.51</v>
      </c>
    </row>
    <row r="741">
      <c r="C741" s="100" t="n"/>
      <c r="D741" s="96" t="inlineStr">
        <is>
          <t>8029930.0:SAREL APPAREILLAGE ELECTRIQUE - 0.0x1040.0x1.0</t>
        </is>
      </c>
      <c r="E741" s="96" t="n">
        <v>0.02</v>
      </c>
      <c r="F741" s="96" t="n">
        <v>1.25</v>
      </c>
      <c r="G741" s="97" t="n">
        <v>8.93</v>
      </c>
    </row>
    <row r="742">
      <c r="C742" s="100" t="n"/>
      <c r="D742" s="96" t="inlineStr">
        <is>
          <t>8029916.0:SAREL APPAREILLAGE ELECTRIQUE - 0.0x789.0x1.8</t>
        </is>
      </c>
      <c r="E742" s="96" t="n">
        <v>0.04</v>
      </c>
      <c r="F742" s="96" t="n">
        <v>4.5</v>
      </c>
      <c r="G742" s="97" t="n">
        <v>15.75</v>
      </c>
    </row>
    <row r="743">
      <c r="C743" s="100" t="n"/>
      <c r="D743" s="96" t="inlineStr">
        <is>
          <t>8029919.0:SAREL APPAREILLAGE ELECTRIQUE - 0.0x389.0x1.8</t>
        </is>
      </c>
      <c r="E743" s="96" t="n">
        <v>0.01</v>
      </c>
      <c r="F743" s="96" t="n">
        <v>0.5</v>
      </c>
      <c r="G743" s="97" t="n">
        <v>10.33</v>
      </c>
    </row>
    <row r="744">
      <c r="C744" s="100" t="n"/>
      <c r="D744" s="96" t="inlineStr">
        <is>
          <t>8029917.0:SAREL APPAREILLAGE ELECTRIQUE - 0.0x989.0x1.8</t>
        </is>
      </c>
      <c r="E744" s="96" t="n">
        <v>0.02</v>
      </c>
      <c r="F744" s="96" t="n">
        <v>2.5</v>
      </c>
      <c r="G744" s="97" t="n">
        <v>13.77</v>
      </c>
    </row>
    <row r="745">
      <c r="C745" s="100" t="n"/>
      <c r="D745" s="96" t="inlineStr">
        <is>
          <t>8029893.0:SAREL APPAREILLAGE ELECTRIQUE - 0.0x940.0x1.0</t>
        </is>
      </c>
      <c r="E745" s="96" t="n">
        <v>0.02</v>
      </c>
      <c r="F745" s="96" t="n">
        <v>2</v>
      </c>
      <c r="G745" s="97" t="n">
        <v>10.72</v>
      </c>
    </row>
    <row r="746">
      <c r="C746" s="100" t="n"/>
      <c r="D746" s="96" t="inlineStr">
        <is>
          <t>8029896.0:SAREL APPAREILLAGE ELECTRIQUE - 0.0x438.0x1.2</t>
        </is>
      </c>
      <c r="E746" s="96" t="n">
        <v>0.02</v>
      </c>
      <c r="F746" s="96" t="n">
        <v>1.875</v>
      </c>
      <c r="G746" s="97" t="n">
        <v>12.86</v>
      </c>
    </row>
    <row r="747">
      <c r="C747" s="100" t="n"/>
      <c r="D747" s="96" t="inlineStr">
        <is>
          <t>8029895.0:SAREL APPAREILLAGE ELECTRIQUE - 0.0x846.0x1.5</t>
        </is>
      </c>
      <c r="E747" s="96" t="n">
        <v>0.01</v>
      </c>
      <c r="F747" s="96" t="n">
        <v>1.25</v>
      </c>
      <c r="G747" s="97" t="n">
        <v>11.89</v>
      </c>
    </row>
    <row r="748">
      <c r="C748" s="100" t="n"/>
      <c r="D748" s="96" t="inlineStr">
        <is>
          <t>8029924.0:SAREL APPAREILLAGE ELECTRIQUE - 0.0x1039.0x1.15</t>
        </is>
      </c>
      <c r="E748" s="96" t="n">
        <v>0.02</v>
      </c>
      <c r="F748" s="96" t="n">
        <v>2.5</v>
      </c>
      <c r="G748" s="97" t="n">
        <v>14.77</v>
      </c>
    </row>
    <row r="749">
      <c r="C749" s="100" t="n"/>
      <c r="D749" s="96" t="inlineStr">
        <is>
          <t>8029928.0:SAREL APPAREILLAGE ELECTRIQUE - 0.0x447.0x1.0</t>
        </is>
      </c>
      <c r="E749" s="96" t="n">
        <v>0.01</v>
      </c>
      <c r="F749" s="96" t="n">
        <v>1.25</v>
      </c>
      <c r="G749" s="97" t="n">
        <v>11.38</v>
      </c>
    </row>
    <row r="750">
      <c r="C750" s="100" t="n"/>
      <c r="D750" s="96" t="inlineStr">
        <is>
          <t>8029923.0:SAREL APPAREILLAGE ELECTRIQUE - 0.0x1239.0x1.15</t>
        </is>
      </c>
      <c r="E750" s="96" t="n">
        <v>0.02</v>
      </c>
      <c r="F750" s="96" t="n">
        <v>2.25</v>
      </c>
      <c r="G750" s="97" t="n">
        <v>12.83</v>
      </c>
    </row>
    <row r="751">
      <c r="C751" s="100" t="n"/>
      <c r="D751" s="96" t="inlineStr">
        <is>
          <t>8029894.0:SAREL APPAREILLAGE ELECTRIQUE - 0.0x338.0x1.2</t>
        </is>
      </c>
      <c r="E751" s="96" t="n">
        <v>0.01</v>
      </c>
      <c r="F751" s="96" t="n">
        <v>0.45</v>
      </c>
      <c r="G751" s="97" t="n">
        <v>11.67</v>
      </c>
    </row>
    <row r="752">
      <c r="C752" s="100" t="n"/>
      <c r="D752" s="96" t="inlineStr">
        <is>
          <t>8029898.0:SAREL APPAREILLAGE ELECTRIQUE - 0.0x638.0x1.2</t>
        </is>
      </c>
      <c r="E752" s="96" t="n">
        <v>0.03</v>
      </c>
      <c r="F752" s="96" t="n">
        <v>2.5</v>
      </c>
      <c r="G752" s="97" t="n">
        <v>11.51</v>
      </c>
    </row>
    <row r="753">
      <c r="C753" s="100" t="n"/>
      <c r="D753" s="96" t="inlineStr">
        <is>
          <t>8029926.0:SAREL APPAREILLAGE ELECTRIQUE - 0.0x740.0x1.0</t>
        </is>
      </c>
      <c r="E753" s="96" t="n">
        <v>0.01</v>
      </c>
      <c r="F753" s="96" t="n">
        <v>1</v>
      </c>
      <c r="G753" s="97" t="n">
        <v>21.71</v>
      </c>
    </row>
    <row r="754">
      <c r="C754" s="100" t="n"/>
      <c r="D754" s="101" t="inlineStr">
        <is>
          <t>8029927.0:SAREL APPAREILLAGE ELECTRIQUE - 0.0x347.0x1.0</t>
        </is>
      </c>
      <c r="E754" s="101" t="n">
        <v>0</v>
      </c>
      <c r="F754" s="101" t="n">
        <v>0.4</v>
      </c>
      <c r="G754" s="102" t="n">
        <v>17.4</v>
      </c>
    </row>
    <row r="755">
      <c r="C755" s="103" t="n"/>
      <c r="D755" s="104" t="inlineStr">
        <is>
          <t>8106250.0:GESTAMP NOURY S.A. - 0.0x157.3x1.8</t>
        </is>
      </c>
      <c r="E755" s="104" t="n">
        <v>0.07000000000000001</v>
      </c>
      <c r="F755" s="104" t="n">
        <v>11.454</v>
      </c>
      <c r="G755" s="105" t="n">
        <v>22.7</v>
      </c>
    </row>
    <row r="759">
      <c r="C759" s="92" t="inlineStr">
        <is>
          <t>Details for : R1 serie - Postes Forecast W3</t>
        </is>
      </c>
      <c r="D759" s="93" t="inlineStr">
        <is>
          <t>Article : Client - Length x Width x Thickness</t>
        </is>
      </c>
      <c r="E759" s="93" t="inlineStr">
        <is>
          <t>Postes</t>
        </is>
      </c>
      <c r="F759" s="93" t="inlineStr">
        <is>
          <t>Tonnes</t>
        </is>
      </c>
      <c r="G759" s="94" t="inlineStr">
        <is>
          <t>Productivity</t>
        </is>
      </c>
    </row>
    <row r="760">
      <c r="C760" s="95" t="inlineStr">
        <is>
          <t>Sum Tonnes : 403.51</t>
        </is>
      </c>
      <c r="D760" s="96" t="inlineStr">
        <is>
          <t>8053691.0:VIESSMANN FAULQUEMONT SAS - 0.0x630.0x2.5</t>
        </is>
      </c>
      <c r="E760" s="96" t="n">
        <v>0.09</v>
      </c>
      <c r="F760" s="96" t="n">
        <v>20</v>
      </c>
      <c r="G760" s="97" t="n">
        <v>30.39</v>
      </c>
    </row>
    <row r="761">
      <c r="C761" s="95" t="inlineStr">
        <is>
          <t>Sum Postes : 2.44</t>
        </is>
      </c>
      <c r="D761" s="96" t="inlineStr">
        <is>
          <t>8017856.0:MA POLSKA - 0.0x293.5x0.95</t>
        </is>
      </c>
      <c r="E761" s="96" t="n">
        <v>0.31</v>
      </c>
      <c r="F761" s="96" t="n">
        <v>50</v>
      </c>
      <c r="G761" s="97" t="n">
        <v>21.17</v>
      </c>
    </row>
    <row r="762">
      <c r="C762" s="95" t="inlineStr">
        <is>
          <t>Average Productivity : 18.33</t>
        </is>
      </c>
      <c r="D762" s="96" t="inlineStr">
        <is>
          <t>8027664.0:SNOP VILLEPINTE - 0.0x212.8x1.15</t>
        </is>
      </c>
      <c r="E762" s="96" t="n">
        <v>0.25</v>
      </c>
      <c r="F762" s="96" t="n">
        <v>54</v>
      </c>
      <c r="G762" s="97" t="n">
        <v>28.95</v>
      </c>
    </row>
    <row r="763">
      <c r="C763" s="100" t="n"/>
      <c r="D763" s="96" t="inlineStr">
        <is>
          <t>8027662.0:SNOP VILLEPINTE - 0.0x101.5x1.05</t>
        </is>
      </c>
      <c r="E763" s="96" t="n">
        <v>0.14</v>
      </c>
      <c r="F763" s="96" t="n">
        <v>18.7</v>
      </c>
      <c r="G763" s="97" t="n">
        <v>17.64</v>
      </c>
    </row>
    <row r="764">
      <c r="C764" s="100" t="n"/>
      <c r="D764" s="96" t="inlineStr">
        <is>
          <t>8027928.0:MA SRL - 0.0x320.0x1.4</t>
        </is>
      </c>
      <c r="E764" s="96" t="n">
        <v>0.29</v>
      </c>
      <c r="F764" s="96" t="n">
        <v>50</v>
      </c>
      <c r="G764" s="97" t="n">
        <v>23.34</v>
      </c>
    </row>
    <row r="765">
      <c r="C765" s="100" t="n"/>
      <c r="D765" s="96" t="inlineStr">
        <is>
          <t>8050618.0:MA POLSKA - 0.0x320.0x1.4</t>
        </is>
      </c>
      <c r="E765" s="96" t="n">
        <v>0.25</v>
      </c>
      <c r="F765" s="96" t="n">
        <v>44</v>
      </c>
      <c r="G765" s="97" t="n">
        <v>23.18</v>
      </c>
    </row>
    <row r="766">
      <c r="C766" s="100" t="n"/>
      <c r="D766" s="98" t="inlineStr">
        <is>
          <t>8061680.0:SNOP VILLEPINTE - 0.0x298.8x1.05</t>
        </is>
      </c>
      <c r="E766" s="98" t="n">
        <v>0.29</v>
      </c>
      <c r="F766" s="98" t="n">
        <v>68.8</v>
      </c>
      <c r="G766" s="99" t="n">
        <v>31.35</v>
      </c>
    </row>
    <row r="767">
      <c r="C767" s="100" t="n"/>
      <c r="D767" s="96" t="inlineStr">
        <is>
          <t>8061732.0:SNOP VILLEPINTE - 0.0x302.3x1.2</t>
        </is>
      </c>
      <c r="E767" s="96" t="n">
        <v>0.15</v>
      </c>
      <c r="F767" s="96" t="n">
        <v>29.4</v>
      </c>
      <c r="G767" s="97" t="n">
        <v>26.19</v>
      </c>
    </row>
    <row r="768">
      <c r="C768" s="100" t="n"/>
      <c r="D768" s="96" t="inlineStr">
        <is>
          <t>8029922.0:SAREL APPAREILLAGE ELECTRIQUE - 0.0x1139.0x1.15</t>
        </is>
      </c>
      <c r="E768" s="96" t="n">
        <v>0.05</v>
      </c>
      <c r="F768" s="96" t="n">
        <v>5</v>
      </c>
      <c r="G768" s="97" t="n">
        <v>12.45</v>
      </c>
    </row>
    <row r="769">
      <c r="C769" s="100" t="n"/>
      <c r="D769" s="96" t="inlineStr">
        <is>
          <t>8029911.0:SAREL APPAREILLAGE ELECTRIQUE - 0.0x821.5x1.5</t>
        </is>
      </c>
      <c r="E769" s="96" t="n">
        <v>0.02</v>
      </c>
      <c r="F769" s="96" t="n">
        <v>2.15</v>
      </c>
      <c r="G769" s="97" t="n">
        <v>18.03</v>
      </c>
    </row>
    <row r="770">
      <c r="C770" s="100" t="n"/>
      <c r="D770" s="96" t="inlineStr">
        <is>
          <t>8029912.0:SAREL APPAREILLAGE ELECTRIQUE - 0.0x1046.0x1.5</t>
        </is>
      </c>
      <c r="E770" s="96" t="n">
        <v>0.02</v>
      </c>
      <c r="F770" s="96" t="n">
        <v>2.5</v>
      </c>
      <c r="G770" s="97" t="n">
        <v>15.39</v>
      </c>
    </row>
    <row r="771">
      <c r="C771" s="100" t="n"/>
      <c r="D771" s="96" t="inlineStr">
        <is>
          <t>8029931.0:SAREL APPAREILLAGE ELECTRIQUE - 0.0x521.5x1.5</t>
        </is>
      </c>
      <c r="E771" s="96" t="n">
        <v>0.01</v>
      </c>
      <c r="F771" s="96" t="n">
        <v>0.75</v>
      </c>
      <c r="G771" s="97" t="n">
        <v>8.08</v>
      </c>
    </row>
    <row r="772">
      <c r="C772" s="100" t="n"/>
      <c r="D772" s="96" t="inlineStr">
        <is>
          <t>8029910.0:SAREL APPAREILLAGE ELECTRIQUE - 0.0x621.5x1.5</t>
        </is>
      </c>
      <c r="E772" s="96" t="n">
        <v>0.05</v>
      </c>
      <c r="F772" s="96" t="n">
        <v>2.4</v>
      </c>
      <c r="G772" s="97" t="n">
        <v>6.76</v>
      </c>
    </row>
    <row r="773">
      <c r="C773" s="100" t="n"/>
      <c r="D773" s="96" t="inlineStr">
        <is>
          <t>8029913.0:SAREL APPAREILLAGE ELECTRIQUE - 0.0x1246.0x1.5</t>
        </is>
      </c>
      <c r="E773" s="96" t="n">
        <v>0</v>
      </c>
      <c r="F773" s="96" t="n">
        <v>1.125</v>
      </c>
      <c r="G773" s="97" t="n">
        <v>36.19</v>
      </c>
    </row>
    <row r="774">
      <c r="C774" s="100" t="n"/>
      <c r="D774" s="96" t="inlineStr">
        <is>
          <t>8029909.0:SAREL APPAREILLAGE ELECTRIQUE - 0.0x421.5x1.5</t>
        </is>
      </c>
      <c r="E774" s="96" t="n">
        <v>0.02</v>
      </c>
      <c r="F774" s="96" t="n">
        <v>2.5</v>
      </c>
      <c r="G774" s="97" t="n">
        <v>16.65</v>
      </c>
    </row>
    <row r="775">
      <c r="C775" s="100" t="n"/>
      <c r="D775" s="96" t="inlineStr">
        <is>
          <t>8029920.0:SAREL APPAREILLAGE ELECTRIQUE - 0.0x589.0x1.8</t>
        </is>
      </c>
      <c r="E775" s="96" t="n">
        <v>0.03</v>
      </c>
      <c r="F775" s="96" t="n">
        <v>2.625</v>
      </c>
      <c r="G775" s="97" t="n">
        <v>12.41</v>
      </c>
    </row>
    <row r="776">
      <c r="C776" s="100" t="n"/>
      <c r="D776" s="96" t="inlineStr">
        <is>
          <t>8029921.0:SAREL APPAREILLAGE ELECTRIQUE - 0.0x840.0x1.0</t>
        </is>
      </c>
      <c r="E776" s="96" t="n">
        <v>0.03</v>
      </c>
      <c r="F776" s="96" t="n">
        <v>2.25</v>
      </c>
      <c r="G776" s="97" t="n">
        <v>10.54</v>
      </c>
    </row>
    <row r="777">
      <c r="C777" s="100" t="n"/>
      <c r="D777" s="96" t="inlineStr">
        <is>
          <t>8029907.0:SAREL APPAREILLAGE ELECTRIQUE - 0.0x1021.5x1.5</t>
        </is>
      </c>
      <c r="E777" s="96" t="n">
        <v>0.01</v>
      </c>
      <c r="F777" s="96" t="n">
        <v>1.1</v>
      </c>
      <c r="G777" s="97" t="n">
        <v>10.51</v>
      </c>
    </row>
    <row r="778">
      <c r="C778" s="100" t="n"/>
      <c r="D778" s="96" t="inlineStr">
        <is>
          <t>8029930.0:SAREL APPAREILLAGE ELECTRIQUE - 0.0x1040.0x1.0</t>
        </is>
      </c>
      <c r="E778" s="96" t="n">
        <v>0.02</v>
      </c>
      <c r="F778" s="96" t="n">
        <v>1.25</v>
      </c>
      <c r="G778" s="97" t="n">
        <v>8.93</v>
      </c>
    </row>
    <row r="779">
      <c r="C779" s="100" t="n"/>
      <c r="D779" s="96" t="inlineStr">
        <is>
          <t>8029916.0:SAREL APPAREILLAGE ELECTRIQUE - 0.0x789.0x1.8</t>
        </is>
      </c>
      <c r="E779" s="96" t="n">
        <v>0.04</v>
      </c>
      <c r="F779" s="96" t="n">
        <v>4.5</v>
      </c>
      <c r="G779" s="97" t="n">
        <v>15.75</v>
      </c>
    </row>
    <row r="780">
      <c r="C780" s="100" t="n"/>
      <c r="D780" s="96" t="inlineStr">
        <is>
          <t>8029919.0:SAREL APPAREILLAGE ELECTRIQUE - 0.0x389.0x1.8</t>
        </is>
      </c>
      <c r="E780" s="96" t="n">
        <v>0.01</v>
      </c>
      <c r="F780" s="96" t="n">
        <v>0.5</v>
      </c>
      <c r="G780" s="97" t="n">
        <v>10.33</v>
      </c>
    </row>
    <row r="781">
      <c r="C781" s="100" t="n"/>
      <c r="D781" s="96" t="inlineStr">
        <is>
          <t>8029917.0:SAREL APPAREILLAGE ELECTRIQUE - 0.0x989.0x1.8</t>
        </is>
      </c>
      <c r="E781" s="96" t="n">
        <v>0.02</v>
      </c>
      <c r="F781" s="96" t="n">
        <v>2.5</v>
      </c>
      <c r="G781" s="97" t="n">
        <v>13.77</v>
      </c>
    </row>
    <row r="782">
      <c r="C782" s="100" t="n"/>
      <c r="D782" s="96" t="inlineStr">
        <is>
          <t>8029893.0:SAREL APPAREILLAGE ELECTRIQUE - 0.0x940.0x1.0</t>
        </is>
      </c>
      <c r="E782" s="96" t="n">
        <v>0.02</v>
      </c>
      <c r="F782" s="96" t="n">
        <v>2</v>
      </c>
      <c r="G782" s="97" t="n">
        <v>10.72</v>
      </c>
    </row>
    <row r="783">
      <c r="C783" s="100" t="n"/>
      <c r="D783" s="96" t="inlineStr">
        <is>
          <t>8029896.0:SAREL APPAREILLAGE ELECTRIQUE - 0.0x438.0x1.2</t>
        </is>
      </c>
      <c r="E783" s="96" t="n">
        <v>0.02</v>
      </c>
      <c r="F783" s="96" t="n">
        <v>1.875</v>
      </c>
      <c r="G783" s="97" t="n">
        <v>12.86</v>
      </c>
    </row>
    <row r="784">
      <c r="C784" s="100" t="n"/>
      <c r="D784" s="96" t="inlineStr">
        <is>
          <t>8029895.0:SAREL APPAREILLAGE ELECTRIQUE - 0.0x846.0x1.5</t>
        </is>
      </c>
      <c r="E784" s="96" t="n">
        <v>0.01</v>
      </c>
      <c r="F784" s="96" t="n">
        <v>1.25</v>
      </c>
      <c r="G784" s="97" t="n">
        <v>11.89</v>
      </c>
    </row>
    <row r="785">
      <c r="C785" s="100" t="n"/>
      <c r="D785" s="96" t="inlineStr">
        <is>
          <t>8029924.0:SAREL APPAREILLAGE ELECTRIQUE - 0.0x1039.0x1.15</t>
        </is>
      </c>
      <c r="E785" s="96" t="n">
        <v>0.02</v>
      </c>
      <c r="F785" s="96" t="n">
        <v>2.5</v>
      </c>
      <c r="G785" s="97" t="n">
        <v>14.77</v>
      </c>
    </row>
    <row r="786">
      <c r="C786" s="100" t="n"/>
      <c r="D786" s="96" t="inlineStr">
        <is>
          <t>8029928.0:SAREL APPAREILLAGE ELECTRIQUE - 0.0x447.0x1.0</t>
        </is>
      </c>
      <c r="E786" s="96" t="n">
        <v>0.01</v>
      </c>
      <c r="F786" s="96" t="n">
        <v>1.25</v>
      </c>
      <c r="G786" s="97" t="n">
        <v>11.38</v>
      </c>
    </row>
    <row r="787">
      <c r="C787" s="100" t="n"/>
      <c r="D787" s="96" t="inlineStr">
        <is>
          <t>8029923.0:SAREL APPAREILLAGE ELECTRIQUE - 0.0x1239.0x1.15</t>
        </is>
      </c>
      <c r="E787" s="96" t="n">
        <v>0.02</v>
      </c>
      <c r="F787" s="96" t="n">
        <v>2.25</v>
      </c>
      <c r="G787" s="97" t="n">
        <v>12.83</v>
      </c>
    </row>
    <row r="788">
      <c r="C788" s="100" t="n"/>
      <c r="D788" s="96" t="inlineStr">
        <is>
          <t>8022128.0:NPL SASU - 0.0x227.0x1.0</t>
        </is>
      </c>
      <c r="E788" s="96" t="n">
        <v>0.16</v>
      </c>
      <c r="F788" s="96" t="n">
        <v>17</v>
      </c>
      <c r="G788" s="97" t="n">
        <v>14.38</v>
      </c>
    </row>
    <row r="789">
      <c r="C789" s="100" t="n"/>
      <c r="D789" s="96" t="inlineStr">
        <is>
          <t>8029894.0:SAREL APPAREILLAGE ELECTRIQUE - 0.0x338.0x1.2</t>
        </is>
      </c>
      <c r="E789" s="96" t="n">
        <v>0.01</v>
      </c>
      <c r="F789" s="96" t="n">
        <v>0.45</v>
      </c>
      <c r="G789" s="97" t="n">
        <v>11.67</v>
      </c>
    </row>
    <row r="790">
      <c r="C790" s="100" t="n"/>
      <c r="D790" s="96" t="inlineStr">
        <is>
          <t>8029898.0:SAREL APPAREILLAGE ELECTRIQUE - 0.0x638.0x1.2</t>
        </is>
      </c>
      <c r="E790" s="96" t="n">
        <v>0.03</v>
      </c>
      <c r="F790" s="96" t="n">
        <v>2.5</v>
      </c>
      <c r="G790" s="97" t="n">
        <v>11.51</v>
      </c>
    </row>
    <row r="791">
      <c r="C791" s="100" t="n"/>
      <c r="D791" s="96" t="inlineStr">
        <is>
          <t>8029926.0:SAREL APPAREILLAGE ELECTRIQUE - 0.0x740.0x1.0</t>
        </is>
      </c>
      <c r="E791" s="96" t="n">
        <v>0.01</v>
      </c>
      <c r="F791" s="96" t="n">
        <v>1</v>
      </c>
      <c r="G791" s="97" t="n">
        <v>21.71</v>
      </c>
    </row>
    <row r="792">
      <c r="C792" s="100" t="n"/>
      <c r="D792" s="101" t="inlineStr">
        <is>
          <t>8029927.0:SAREL APPAREILLAGE ELECTRIQUE - 0.0x347.0x1.0</t>
        </is>
      </c>
      <c r="E792" s="101" t="n">
        <v>0</v>
      </c>
      <c r="F792" s="101" t="n">
        <v>0.4</v>
      </c>
      <c r="G792" s="102" t="n">
        <v>17.4</v>
      </c>
    </row>
    <row r="793">
      <c r="C793" s="103" t="n"/>
      <c r="D793" s="104" t="inlineStr">
        <is>
          <t>8106250.0:GESTAMP NOURY S.A. - 0.0x157.3x1.8</t>
        </is>
      </c>
      <c r="E793" s="104" t="n">
        <v>0.03</v>
      </c>
      <c r="F793" s="104" t="n">
        <v>4.985</v>
      </c>
      <c r="G793" s="105" t="n">
        <v>22.7</v>
      </c>
    </row>
    <row r="797">
      <c r="C797" s="92" t="inlineStr">
        <is>
          <t>Details for : R1 serie - Postes Forecast W4</t>
        </is>
      </c>
      <c r="D797" s="93" t="inlineStr">
        <is>
          <t>Article : Client - Length x Width x Thickness</t>
        </is>
      </c>
      <c r="E797" s="93" t="inlineStr">
        <is>
          <t>Postes</t>
        </is>
      </c>
      <c r="F797" s="93" t="inlineStr">
        <is>
          <t>Tonnes</t>
        </is>
      </c>
      <c r="G797" s="94" t="inlineStr">
        <is>
          <t>Productivity</t>
        </is>
      </c>
    </row>
    <row r="798">
      <c r="C798" s="95" t="inlineStr">
        <is>
          <t>Sum Tonnes : 527.44</t>
        </is>
      </c>
      <c r="D798" s="96" t="inlineStr">
        <is>
          <t>8056251.0:LEBRAUT RICHARD DECOUPAGE SAS - 0.0x337.0x1.5</t>
        </is>
      </c>
      <c r="E798" s="96" t="n">
        <v>0.4</v>
      </c>
      <c r="F798" s="96" t="n">
        <v>25</v>
      </c>
      <c r="G798" s="97" t="n">
        <v>8.43</v>
      </c>
    </row>
    <row r="799">
      <c r="C799" s="95" t="inlineStr">
        <is>
          <t>Sum Postes : 3.67</t>
        </is>
      </c>
      <c r="D799" s="96" t="inlineStr">
        <is>
          <t>8048995.0:LEBRAUT RICHARD DECOUPAGE SAS - 0.0x305.0x1.5</t>
        </is>
      </c>
      <c r="E799" s="96" t="n">
        <v>0.4</v>
      </c>
      <c r="F799" s="96" t="n">
        <v>25</v>
      </c>
      <c r="G799" s="97" t="n">
        <v>8.43</v>
      </c>
    </row>
    <row r="800">
      <c r="C800" s="95" t="inlineStr">
        <is>
          <t>Average Productivity : 18.33</t>
        </is>
      </c>
      <c r="D800" s="96" t="inlineStr">
        <is>
          <t>8085848.0:BUBENDORFF SAS - 0.0x185.0x0.6</t>
        </is>
      </c>
      <c r="E800" s="96" t="n">
        <v>0.13</v>
      </c>
      <c r="F800" s="96" t="n">
        <v>20</v>
      </c>
      <c r="G800" s="97" t="n">
        <v>19.99</v>
      </c>
    </row>
    <row r="801">
      <c r="C801" s="100" t="n"/>
      <c r="D801" s="96" t="inlineStr">
        <is>
          <t>8039779.0:SIMPSON STRONG-TIE SAS - 0.0x320.0x1.5</t>
        </is>
      </c>
      <c r="E801" s="96" t="n">
        <v>0.1</v>
      </c>
      <c r="F801" s="96" t="n">
        <v>16</v>
      </c>
      <c r="G801" s="97" t="n">
        <v>22.08</v>
      </c>
    </row>
    <row r="802">
      <c r="C802" s="100" t="n"/>
      <c r="D802" s="96" t="inlineStr">
        <is>
          <t>8017856.0:MA POLSKA - 0.0x293.5x0.95</t>
        </is>
      </c>
      <c r="E802" s="96" t="n">
        <v>0.31</v>
      </c>
      <c r="F802" s="96" t="n">
        <v>50</v>
      </c>
      <c r="G802" s="97" t="n">
        <v>21.17</v>
      </c>
    </row>
    <row r="803">
      <c r="C803" s="100" t="n"/>
      <c r="D803" s="96" t="inlineStr">
        <is>
          <t>8027664.0:SNOP VILLEPINTE - 0.0x212.8x1.15</t>
        </is>
      </c>
      <c r="E803" s="96" t="n">
        <v>0.23</v>
      </c>
      <c r="F803" s="96" t="n">
        <v>50.4</v>
      </c>
      <c r="G803" s="97" t="n">
        <v>28.95</v>
      </c>
    </row>
    <row r="804">
      <c r="C804" s="100" t="n"/>
      <c r="D804" s="96" t="inlineStr">
        <is>
          <t>8027662.0:SNOP VILLEPINTE - 0.0x101.5x1.05</t>
        </is>
      </c>
      <c r="E804" s="96" t="n">
        <v>0.14</v>
      </c>
      <c r="F804" s="96" t="n">
        <v>18.7</v>
      </c>
      <c r="G804" s="97" t="n">
        <v>17.64</v>
      </c>
    </row>
    <row r="805">
      <c r="C805" s="100" t="n"/>
      <c r="D805" s="96" t="inlineStr">
        <is>
          <t>8027928.0:MA SRL - 0.0x320.0x1.4</t>
        </is>
      </c>
      <c r="E805" s="96" t="n">
        <v>0.29</v>
      </c>
      <c r="F805" s="96" t="n">
        <v>50</v>
      </c>
      <c r="G805" s="97" t="n">
        <v>23.34</v>
      </c>
    </row>
    <row r="806">
      <c r="C806" s="100" t="n"/>
      <c r="D806" s="96" t="inlineStr">
        <is>
          <t>8008096.0:GESTAMP NOURY S.A. - 0.0x260.4x1.5</t>
        </is>
      </c>
      <c r="E806" s="96" t="n">
        <v>0.3</v>
      </c>
      <c r="F806" s="96" t="n">
        <v>51</v>
      </c>
      <c r="G806" s="97" t="n">
        <v>23.04</v>
      </c>
    </row>
    <row r="807">
      <c r="C807" s="100" t="n"/>
      <c r="D807" s="96" t="inlineStr">
        <is>
          <t>8050618.0:MA POLSKA - 0.0x320.0x1.4</t>
        </is>
      </c>
      <c r="E807" s="96" t="n">
        <v>0.25</v>
      </c>
      <c r="F807" s="96" t="n">
        <v>44</v>
      </c>
      <c r="G807" s="97" t="n">
        <v>23.18</v>
      </c>
    </row>
    <row r="808">
      <c r="C808" s="100" t="n"/>
      <c r="D808" s="98" t="inlineStr">
        <is>
          <t>8061680.0:SNOP VILLEPINTE - 0.0x298.8x1.05</t>
        </is>
      </c>
      <c r="E808" s="98" t="n">
        <v>0.31</v>
      </c>
      <c r="F808" s="98" t="n">
        <v>73.09999999999999</v>
      </c>
      <c r="G808" s="99" t="n">
        <v>31.35</v>
      </c>
    </row>
    <row r="809">
      <c r="C809" s="100" t="n"/>
      <c r="D809" s="96" t="inlineStr">
        <is>
          <t>8061732.0:SNOP VILLEPINTE - 0.0x302.3x1.2</t>
        </is>
      </c>
      <c r="E809" s="96" t="n">
        <v>0.15</v>
      </c>
      <c r="F809" s="96" t="n">
        <v>29.4</v>
      </c>
      <c r="G809" s="97" t="n">
        <v>26.19</v>
      </c>
    </row>
    <row r="810">
      <c r="C810" s="100" t="n"/>
      <c r="D810" s="96" t="inlineStr">
        <is>
          <t>8029922.0:SAREL APPAREILLAGE ELECTRIQUE - 0.0x1139.0x1.15</t>
        </is>
      </c>
      <c r="E810" s="96" t="n">
        <v>0.05</v>
      </c>
      <c r="F810" s="96" t="n">
        <v>5</v>
      </c>
      <c r="G810" s="97" t="n">
        <v>12.45</v>
      </c>
    </row>
    <row r="811">
      <c r="C811" s="100" t="n"/>
      <c r="D811" s="96" t="inlineStr">
        <is>
          <t>8029911.0:SAREL APPAREILLAGE ELECTRIQUE - 0.0x821.5x1.5</t>
        </is>
      </c>
      <c r="E811" s="96" t="n">
        <v>0.02</v>
      </c>
      <c r="F811" s="96" t="n">
        <v>2.15</v>
      </c>
      <c r="G811" s="97" t="n">
        <v>18.03</v>
      </c>
    </row>
    <row r="812">
      <c r="C812" s="100" t="n"/>
      <c r="D812" s="96" t="inlineStr">
        <is>
          <t>8029912.0:SAREL APPAREILLAGE ELECTRIQUE - 0.0x1046.0x1.5</t>
        </is>
      </c>
      <c r="E812" s="96" t="n">
        <v>0.02</v>
      </c>
      <c r="F812" s="96" t="n">
        <v>2.5</v>
      </c>
      <c r="G812" s="97" t="n">
        <v>15.39</v>
      </c>
    </row>
    <row r="813">
      <c r="C813" s="100" t="n"/>
      <c r="D813" s="96" t="inlineStr">
        <is>
          <t>8029931.0:SAREL APPAREILLAGE ELECTRIQUE - 0.0x521.5x1.5</t>
        </is>
      </c>
      <c r="E813" s="96" t="n">
        <v>0.01</v>
      </c>
      <c r="F813" s="96" t="n">
        <v>0.75</v>
      </c>
      <c r="G813" s="97" t="n">
        <v>8.08</v>
      </c>
    </row>
    <row r="814">
      <c r="C814" s="100" t="n"/>
      <c r="D814" s="96" t="inlineStr">
        <is>
          <t>8029910.0:SAREL APPAREILLAGE ELECTRIQUE - 0.0x621.5x1.5</t>
        </is>
      </c>
      <c r="E814" s="96" t="n">
        <v>0.05</v>
      </c>
      <c r="F814" s="96" t="n">
        <v>2.4</v>
      </c>
      <c r="G814" s="97" t="n">
        <v>6.76</v>
      </c>
    </row>
    <row r="815">
      <c r="C815" s="100" t="n"/>
      <c r="D815" s="96" t="inlineStr">
        <is>
          <t>8029913.0:SAREL APPAREILLAGE ELECTRIQUE - 0.0x1246.0x1.5</t>
        </is>
      </c>
      <c r="E815" s="96" t="n">
        <v>0</v>
      </c>
      <c r="F815" s="96" t="n">
        <v>1.125</v>
      </c>
      <c r="G815" s="97" t="n">
        <v>36.19</v>
      </c>
    </row>
    <row r="816">
      <c r="C816" s="100" t="n"/>
      <c r="D816" s="96" t="inlineStr">
        <is>
          <t>8029909.0:SAREL APPAREILLAGE ELECTRIQUE - 0.0x421.5x1.5</t>
        </is>
      </c>
      <c r="E816" s="96" t="n">
        <v>0.02</v>
      </c>
      <c r="F816" s="96" t="n">
        <v>2.5</v>
      </c>
      <c r="G816" s="97" t="n">
        <v>16.65</v>
      </c>
    </row>
    <row r="817">
      <c r="C817" s="100" t="n"/>
      <c r="D817" s="96" t="inlineStr">
        <is>
          <t>8029920.0:SAREL APPAREILLAGE ELECTRIQUE - 0.0x589.0x1.8</t>
        </is>
      </c>
      <c r="E817" s="96" t="n">
        <v>0.03</v>
      </c>
      <c r="F817" s="96" t="n">
        <v>2.625</v>
      </c>
      <c r="G817" s="97" t="n">
        <v>12.41</v>
      </c>
    </row>
    <row r="818">
      <c r="C818" s="100" t="n"/>
      <c r="D818" s="96" t="inlineStr">
        <is>
          <t>8029921.0:SAREL APPAREILLAGE ELECTRIQUE - 0.0x840.0x1.0</t>
        </is>
      </c>
      <c r="E818" s="96" t="n">
        <v>0.03</v>
      </c>
      <c r="F818" s="96" t="n">
        <v>2.25</v>
      </c>
      <c r="G818" s="97" t="n">
        <v>10.54</v>
      </c>
    </row>
    <row r="819">
      <c r="C819" s="100" t="n"/>
      <c r="D819" s="96" t="inlineStr">
        <is>
          <t>8029907.0:SAREL APPAREILLAGE ELECTRIQUE - 0.0x1021.5x1.5</t>
        </is>
      </c>
      <c r="E819" s="96" t="n">
        <v>0.01</v>
      </c>
      <c r="F819" s="96" t="n">
        <v>1.1</v>
      </c>
      <c r="G819" s="97" t="n">
        <v>10.51</v>
      </c>
    </row>
    <row r="820">
      <c r="C820" s="100" t="n"/>
      <c r="D820" s="96" t="inlineStr">
        <is>
          <t>8029930.0:SAREL APPAREILLAGE ELECTRIQUE - 0.0x1040.0x1.0</t>
        </is>
      </c>
      <c r="E820" s="96" t="n">
        <v>0.02</v>
      </c>
      <c r="F820" s="96" t="n">
        <v>1.25</v>
      </c>
      <c r="G820" s="97" t="n">
        <v>8.93</v>
      </c>
    </row>
    <row r="821">
      <c r="C821" s="100" t="n"/>
      <c r="D821" s="96" t="inlineStr">
        <is>
          <t>8029916.0:SAREL APPAREILLAGE ELECTRIQUE - 0.0x789.0x1.8</t>
        </is>
      </c>
      <c r="E821" s="96" t="n">
        <v>0.04</v>
      </c>
      <c r="F821" s="96" t="n">
        <v>4.5</v>
      </c>
      <c r="G821" s="97" t="n">
        <v>15.75</v>
      </c>
    </row>
    <row r="822">
      <c r="C822" s="100" t="n"/>
      <c r="D822" s="96" t="inlineStr">
        <is>
          <t>8029919.0:SAREL APPAREILLAGE ELECTRIQUE - 0.0x389.0x1.8</t>
        </is>
      </c>
      <c r="E822" s="96" t="n">
        <v>0.01</v>
      </c>
      <c r="F822" s="96" t="n">
        <v>0.5</v>
      </c>
      <c r="G822" s="97" t="n">
        <v>10.33</v>
      </c>
    </row>
    <row r="823">
      <c r="C823" s="100" t="n"/>
      <c r="D823" s="96" t="inlineStr">
        <is>
          <t>8029917.0:SAREL APPAREILLAGE ELECTRIQUE - 0.0x989.0x1.8</t>
        </is>
      </c>
      <c r="E823" s="96" t="n">
        <v>0.02</v>
      </c>
      <c r="F823" s="96" t="n">
        <v>2.5</v>
      </c>
      <c r="G823" s="97" t="n">
        <v>13.77</v>
      </c>
    </row>
    <row r="824">
      <c r="C824" s="100" t="n"/>
      <c r="D824" s="96" t="inlineStr">
        <is>
          <t>8029893.0:SAREL APPAREILLAGE ELECTRIQUE - 0.0x940.0x1.0</t>
        </is>
      </c>
      <c r="E824" s="96" t="n">
        <v>0.02</v>
      </c>
      <c r="F824" s="96" t="n">
        <v>2</v>
      </c>
      <c r="G824" s="97" t="n">
        <v>10.72</v>
      </c>
    </row>
    <row r="825">
      <c r="C825" s="100" t="n"/>
      <c r="D825" s="96" t="inlineStr">
        <is>
          <t>8029896.0:SAREL APPAREILLAGE ELECTRIQUE - 0.0x438.0x1.2</t>
        </is>
      </c>
      <c r="E825" s="96" t="n">
        <v>0.02</v>
      </c>
      <c r="F825" s="96" t="n">
        <v>1.875</v>
      </c>
      <c r="G825" s="97" t="n">
        <v>12.86</v>
      </c>
    </row>
    <row r="826">
      <c r="C826" s="100" t="n"/>
      <c r="D826" s="96" t="inlineStr">
        <is>
          <t>8029895.0:SAREL APPAREILLAGE ELECTRIQUE - 0.0x846.0x1.5</t>
        </is>
      </c>
      <c r="E826" s="96" t="n">
        <v>0.01</v>
      </c>
      <c r="F826" s="96" t="n">
        <v>1.25</v>
      </c>
      <c r="G826" s="97" t="n">
        <v>11.89</v>
      </c>
    </row>
    <row r="827">
      <c r="C827" s="100" t="n"/>
      <c r="D827" s="96" t="inlineStr">
        <is>
          <t>8029924.0:SAREL APPAREILLAGE ELECTRIQUE - 0.0x1039.0x1.15</t>
        </is>
      </c>
      <c r="E827" s="96" t="n">
        <v>0.02</v>
      </c>
      <c r="F827" s="96" t="n">
        <v>2.5</v>
      </c>
      <c r="G827" s="97" t="n">
        <v>14.77</v>
      </c>
    </row>
    <row r="828">
      <c r="C828" s="100" t="n"/>
      <c r="D828" s="96" t="inlineStr">
        <is>
          <t>8029928.0:SAREL APPAREILLAGE ELECTRIQUE - 0.0x447.0x1.0</t>
        </is>
      </c>
      <c r="E828" s="96" t="n">
        <v>0.01</v>
      </c>
      <c r="F828" s="96" t="n">
        <v>1.25</v>
      </c>
      <c r="G828" s="97" t="n">
        <v>11.38</v>
      </c>
    </row>
    <row r="829">
      <c r="C829" s="100" t="n"/>
      <c r="D829" s="96" t="inlineStr">
        <is>
          <t>8029923.0:SAREL APPAREILLAGE ELECTRIQUE - 0.0x1239.0x1.15</t>
        </is>
      </c>
      <c r="E829" s="96" t="n">
        <v>0.02</v>
      </c>
      <c r="F829" s="96" t="n">
        <v>2.25</v>
      </c>
      <c r="G829" s="97" t="n">
        <v>12.83</v>
      </c>
    </row>
    <row r="830">
      <c r="C830" s="100" t="n"/>
      <c r="D830" s="96" t="inlineStr">
        <is>
          <t>8029894.0:SAREL APPAREILLAGE ELECTRIQUE - 0.0x338.0x1.2</t>
        </is>
      </c>
      <c r="E830" s="96" t="n">
        <v>0.01</v>
      </c>
      <c r="F830" s="96" t="n">
        <v>0.45</v>
      </c>
      <c r="G830" s="97" t="n">
        <v>11.67</v>
      </c>
    </row>
    <row r="831">
      <c r="C831" s="100" t="n"/>
      <c r="D831" s="96" t="inlineStr">
        <is>
          <t>8029898.0:SAREL APPAREILLAGE ELECTRIQUE - 0.0x638.0x1.2</t>
        </is>
      </c>
      <c r="E831" s="96" t="n">
        <v>0.03</v>
      </c>
      <c r="F831" s="96" t="n">
        <v>2.5</v>
      </c>
      <c r="G831" s="97" t="n">
        <v>11.51</v>
      </c>
    </row>
    <row r="832">
      <c r="C832" s="100" t="n"/>
      <c r="D832" s="96" t="inlineStr">
        <is>
          <t>8029926.0:SAREL APPAREILLAGE ELECTRIQUE - 0.0x740.0x1.0</t>
        </is>
      </c>
      <c r="E832" s="96" t="n">
        <v>0.01</v>
      </c>
      <c r="F832" s="96" t="n">
        <v>1</v>
      </c>
      <c r="G832" s="97" t="n">
        <v>21.71</v>
      </c>
    </row>
    <row r="833">
      <c r="C833" s="100" t="n"/>
      <c r="D833" s="101" t="inlineStr">
        <is>
          <t>8029927.0:SAREL APPAREILLAGE ELECTRIQUE - 0.0x347.0x1.0</t>
        </is>
      </c>
      <c r="E833" s="101" t="n">
        <v>0</v>
      </c>
      <c r="F833" s="101" t="n">
        <v>0.4</v>
      </c>
      <c r="G833" s="102" t="n">
        <v>17.4</v>
      </c>
    </row>
    <row r="834">
      <c r="C834" s="100" t="n"/>
      <c r="D834" s="96" t="inlineStr">
        <is>
          <t>8088383.0:RENAULT S.A.S - 0.0x650.0x2.0</t>
        </is>
      </c>
      <c r="E834" s="96" t="n">
        <v>0.04</v>
      </c>
      <c r="F834" s="96" t="n">
        <v>6.5</v>
      </c>
      <c r="G834" s="97" t="n">
        <v>22.36</v>
      </c>
    </row>
    <row r="835">
      <c r="C835" s="100" t="n"/>
      <c r="D835" s="96" t="inlineStr">
        <is>
          <t>8106250.0:GESTAMP NOURY S.A. - 0.0x157.3x1.8</t>
        </is>
      </c>
      <c r="E835" s="96" t="n">
        <v>0.12</v>
      </c>
      <c r="F835" s="96" t="n">
        <v>19.718</v>
      </c>
      <c r="G835" s="97" t="n">
        <v>22.7</v>
      </c>
    </row>
    <row r="836">
      <c r="C836" s="103" t="n"/>
      <c r="D836" s="104" t="inlineStr">
        <is>
          <t>8106440.0:MAGNA LORRAINE - 0.0x590.0x0.6</t>
        </is>
      </c>
      <c r="E836" s="104" t="n">
        <v>0.02</v>
      </c>
      <c r="F836" s="104" t="n">
        <v>2</v>
      </c>
      <c r="G836" s="105" t="n">
        <v>14.02</v>
      </c>
    </row>
    <row r="840">
      <c r="C840" s="92" t="inlineStr">
        <is>
          <t>Details for : R1 serie - Postes Forecast W5</t>
        </is>
      </c>
      <c r="D840" s="93" t="inlineStr">
        <is>
          <t>Article : Client - Length x Width x Thickness</t>
        </is>
      </c>
      <c r="E840" s="93" t="inlineStr">
        <is>
          <t>Postes</t>
        </is>
      </c>
      <c r="F840" s="93" t="inlineStr">
        <is>
          <t>Tonnes</t>
        </is>
      </c>
      <c r="G840" s="94" t="inlineStr">
        <is>
          <t>Productivity</t>
        </is>
      </c>
    </row>
    <row r="841">
      <c r="C841" s="95" t="inlineStr">
        <is>
          <t>Sum Tonnes : 318.02</t>
        </is>
      </c>
      <c r="D841" s="96" t="inlineStr">
        <is>
          <t>8033597.0:SIMPSON STRONG-TIE SAS - 0.0x200.0x3.0</t>
        </is>
      </c>
      <c r="E841" s="96" t="n">
        <v>0.03</v>
      </c>
      <c r="F841" s="96" t="n">
        <v>7</v>
      </c>
      <c r="G841" s="97" t="n">
        <v>30.28</v>
      </c>
    </row>
    <row r="842">
      <c r="C842" s="95" t="inlineStr">
        <is>
          <t>Sum Postes : 1.96</t>
        </is>
      </c>
      <c r="D842" s="96" t="inlineStr">
        <is>
          <t>8046458.0:SIMPSON STRONG-TIE SAS - 0.0x195.0x1.5</t>
        </is>
      </c>
      <c r="E842" s="96" t="n">
        <v>0.07000000000000001</v>
      </c>
      <c r="F842" s="96" t="n">
        <v>7</v>
      </c>
      <c r="G842" s="97" t="n">
        <v>12.98</v>
      </c>
    </row>
    <row r="843">
      <c r="C843" s="95" t="inlineStr">
        <is>
          <t>Average Productivity : 18.33</t>
        </is>
      </c>
      <c r="D843" s="96" t="inlineStr">
        <is>
          <t>8033496.0:SIMPSON STRONG-TIE SAS - 0.0x230.0x1.5</t>
        </is>
      </c>
      <c r="E843" s="96" t="n">
        <v>0.03</v>
      </c>
      <c r="F843" s="96" t="n">
        <v>4</v>
      </c>
      <c r="G843" s="97" t="n">
        <v>18.02</v>
      </c>
    </row>
    <row r="844">
      <c r="C844" s="100" t="n"/>
      <c r="D844" s="96" t="inlineStr">
        <is>
          <t>8022968.0:BAOMARC - 0.0x304.0x1.5</t>
        </is>
      </c>
      <c r="E844" s="96" t="n">
        <v>0.18</v>
      </c>
      <c r="F844" s="96" t="n">
        <v>25</v>
      </c>
      <c r="G844" s="97" t="n">
        <v>18.13</v>
      </c>
    </row>
    <row r="845">
      <c r="C845" s="100" t="n"/>
      <c r="D845" s="96" t="inlineStr">
        <is>
          <t>8027664.0:SNOP VILLEPINTE - 0.0x212.8x1.15</t>
        </is>
      </c>
      <c r="E845" s="96" t="n">
        <v>0.23</v>
      </c>
      <c r="F845" s="96" t="n">
        <v>50.4</v>
      </c>
      <c r="G845" s="97" t="n">
        <v>28.95</v>
      </c>
    </row>
    <row r="846">
      <c r="C846" s="100" t="n"/>
      <c r="D846" s="96" t="inlineStr">
        <is>
          <t>8027662.0:SNOP VILLEPINTE - 0.0x101.5x1.05</t>
        </is>
      </c>
      <c r="E846" s="96" t="n">
        <v>0.14</v>
      </c>
      <c r="F846" s="96" t="n">
        <v>18.7</v>
      </c>
      <c r="G846" s="97" t="n">
        <v>17.64</v>
      </c>
    </row>
    <row r="847">
      <c r="C847" s="100" t="n"/>
      <c r="D847" s="96" t="inlineStr">
        <is>
          <t>8008096.0:GESTAMP NOURY S.A. - 0.0x260.4x1.5</t>
        </is>
      </c>
      <c r="E847" s="96" t="n">
        <v>0.1</v>
      </c>
      <c r="F847" s="96" t="n">
        <v>18</v>
      </c>
      <c r="G847" s="97" t="n">
        <v>23.04</v>
      </c>
    </row>
    <row r="848">
      <c r="C848" s="100" t="n"/>
      <c r="D848" s="98" t="inlineStr">
        <is>
          <t>8061680.0:SNOP VILLEPINTE - 0.0x298.8x1.05</t>
        </is>
      </c>
      <c r="E848" s="98" t="n">
        <v>0.29</v>
      </c>
      <c r="F848" s="98" t="n">
        <v>68.8</v>
      </c>
      <c r="G848" s="99" t="n">
        <v>31.35</v>
      </c>
    </row>
    <row r="849">
      <c r="C849" s="100" t="n"/>
      <c r="D849" s="96" t="inlineStr">
        <is>
          <t>8061732.0:SNOP VILLEPINTE - 0.0x302.3x1.2</t>
        </is>
      </c>
      <c r="E849" s="96" t="n">
        <v>0.19</v>
      </c>
      <c r="F849" s="96" t="n">
        <v>37.8</v>
      </c>
      <c r="G849" s="97" t="n">
        <v>26.19</v>
      </c>
    </row>
    <row r="850">
      <c r="C850" s="100" t="n"/>
      <c r="D850" s="96" t="inlineStr">
        <is>
          <t>8067995.0:RENAULT SAS - 0.0x432.0x5.0</t>
        </is>
      </c>
      <c r="E850" s="96" t="n">
        <v>0.2</v>
      </c>
      <c r="F850" s="96" t="n">
        <v>32</v>
      </c>
      <c r="G850" s="97" t="n">
        <v>21.1</v>
      </c>
    </row>
    <row r="851">
      <c r="C851" s="100" t="n"/>
      <c r="D851" s="96" t="inlineStr">
        <is>
          <t>8029922.0:SAREL APPAREILLAGE ELECTRIQUE - 0.0x1139.0x1.15</t>
        </is>
      </c>
      <c r="E851" s="96" t="n">
        <v>0.05</v>
      </c>
      <c r="F851" s="96" t="n">
        <v>5</v>
      </c>
      <c r="G851" s="97" t="n">
        <v>12.45</v>
      </c>
    </row>
    <row r="852">
      <c r="C852" s="100" t="n"/>
      <c r="D852" s="96" t="inlineStr">
        <is>
          <t>8029911.0:SAREL APPAREILLAGE ELECTRIQUE - 0.0x821.5x1.5</t>
        </is>
      </c>
      <c r="E852" s="96" t="n">
        <v>0.02</v>
      </c>
      <c r="F852" s="96" t="n">
        <v>2.15</v>
      </c>
      <c r="G852" s="97" t="n">
        <v>18.03</v>
      </c>
    </row>
    <row r="853">
      <c r="C853" s="100" t="n"/>
      <c r="D853" s="96" t="inlineStr">
        <is>
          <t>8029912.0:SAREL APPAREILLAGE ELECTRIQUE - 0.0x1046.0x1.5</t>
        </is>
      </c>
      <c r="E853" s="96" t="n">
        <v>0.02</v>
      </c>
      <c r="F853" s="96" t="n">
        <v>2.5</v>
      </c>
      <c r="G853" s="97" t="n">
        <v>15.39</v>
      </c>
    </row>
    <row r="854">
      <c r="C854" s="100" t="n"/>
      <c r="D854" s="96" t="inlineStr">
        <is>
          <t>8029931.0:SAREL APPAREILLAGE ELECTRIQUE - 0.0x521.5x1.5</t>
        </is>
      </c>
      <c r="E854" s="96" t="n">
        <v>0.01</v>
      </c>
      <c r="F854" s="96" t="n">
        <v>0.75</v>
      </c>
      <c r="G854" s="97" t="n">
        <v>8.08</v>
      </c>
    </row>
    <row r="855">
      <c r="C855" s="100" t="n"/>
      <c r="D855" s="96" t="inlineStr">
        <is>
          <t>8029910.0:SAREL APPAREILLAGE ELECTRIQUE - 0.0x621.5x1.5</t>
        </is>
      </c>
      <c r="E855" s="96" t="n">
        <v>0.05</v>
      </c>
      <c r="F855" s="96" t="n">
        <v>2.4</v>
      </c>
      <c r="G855" s="97" t="n">
        <v>6.76</v>
      </c>
    </row>
    <row r="856">
      <c r="C856" s="100" t="n"/>
      <c r="D856" s="96" t="inlineStr">
        <is>
          <t>8029913.0:SAREL APPAREILLAGE ELECTRIQUE - 0.0x1246.0x1.5</t>
        </is>
      </c>
      <c r="E856" s="96" t="n">
        <v>0</v>
      </c>
      <c r="F856" s="96" t="n">
        <v>1.125</v>
      </c>
      <c r="G856" s="97" t="n">
        <v>36.19</v>
      </c>
    </row>
    <row r="857">
      <c r="C857" s="100" t="n"/>
      <c r="D857" s="96" t="inlineStr">
        <is>
          <t>8029909.0:SAREL APPAREILLAGE ELECTRIQUE - 0.0x421.5x1.5</t>
        </is>
      </c>
      <c r="E857" s="96" t="n">
        <v>0.02</v>
      </c>
      <c r="F857" s="96" t="n">
        <v>2.5</v>
      </c>
      <c r="G857" s="97" t="n">
        <v>16.65</v>
      </c>
    </row>
    <row r="858">
      <c r="C858" s="100" t="n"/>
      <c r="D858" s="96" t="inlineStr">
        <is>
          <t>8029920.0:SAREL APPAREILLAGE ELECTRIQUE - 0.0x589.0x1.8</t>
        </is>
      </c>
      <c r="E858" s="96" t="n">
        <v>0.03</v>
      </c>
      <c r="F858" s="96" t="n">
        <v>2.625</v>
      </c>
      <c r="G858" s="97" t="n">
        <v>12.41</v>
      </c>
    </row>
    <row r="859">
      <c r="C859" s="100" t="n"/>
      <c r="D859" s="96" t="inlineStr">
        <is>
          <t>8029921.0:SAREL APPAREILLAGE ELECTRIQUE - 0.0x840.0x1.0</t>
        </is>
      </c>
      <c r="E859" s="96" t="n">
        <v>0.03</v>
      </c>
      <c r="F859" s="96" t="n">
        <v>2.25</v>
      </c>
      <c r="G859" s="97" t="n">
        <v>10.54</v>
      </c>
    </row>
    <row r="860">
      <c r="C860" s="100" t="n"/>
      <c r="D860" s="96" t="inlineStr">
        <is>
          <t>8029907.0:SAREL APPAREILLAGE ELECTRIQUE - 0.0x1021.5x1.5</t>
        </is>
      </c>
      <c r="E860" s="96" t="n">
        <v>0.01</v>
      </c>
      <c r="F860" s="96" t="n">
        <v>1.1</v>
      </c>
      <c r="G860" s="97" t="n">
        <v>10.51</v>
      </c>
    </row>
    <row r="861">
      <c r="C861" s="100" t="n"/>
      <c r="D861" s="96" t="inlineStr">
        <is>
          <t>8029930.0:SAREL APPAREILLAGE ELECTRIQUE - 0.0x1040.0x1.0</t>
        </is>
      </c>
      <c r="E861" s="96" t="n">
        <v>0.02</v>
      </c>
      <c r="F861" s="96" t="n">
        <v>1.25</v>
      </c>
      <c r="G861" s="97" t="n">
        <v>8.93</v>
      </c>
    </row>
    <row r="862">
      <c r="C862" s="100" t="n"/>
      <c r="D862" s="96" t="inlineStr">
        <is>
          <t>8029916.0:SAREL APPAREILLAGE ELECTRIQUE - 0.0x789.0x1.8</t>
        </is>
      </c>
      <c r="E862" s="96" t="n">
        <v>0.04</v>
      </c>
      <c r="F862" s="96" t="n">
        <v>4.5</v>
      </c>
      <c r="G862" s="97" t="n">
        <v>15.75</v>
      </c>
    </row>
    <row r="863">
      <c r="C863" s="100" t="n"/>
      <c r="D863" s="96" t="inlineStr">
        <is>
          <t>8029919.0:SAREL APPAREILLAGE ELECTRIQUE - 0.0x389.0x1.8</t>
        </is>
      </c>
      <c r="E863" s="96" t="n">
        <v>0.01</v>
      </c>
      <c r="F863" s="96" t="n">
        <v>0.5</v>
      </c>
      <c r="G863" s="97" t="n">
        <v>10.33</v>
      </c>
    </row>
    <row r="864">
      <c r="C864" s="100" t="n"/>
      <c r="D864" s="96" t="inlineStr">
        <is>
          <t>8029917.0:SAREL APPAREILLAGE ELECTRIQUE - 0.0x989.0x1.8</t>
        </is>
      </c>
      <c r="E864" s="96" t="n">
        <v>0.02</v>
      </c>
      <c r="F864" s="96" t="n">
        <v>2.5</v>
      </c>
      <c r="G864" s="97" t="n">
        <v>13.77</v>
      </c>
    </row>
    <row r="865">
      <c r="C865" s="100" t="n"/>
      <c r="D865" s="96" t="inlineStr">
        <is>
          <t>8029893.0:SAREL APPAREILLAGE ELECTRIQUE - 0.0x940.0x1.0</t>
        </is>
      </c>
      <c r="E865" s="96" t="n">
        <v>0.02</v>
      </c>
      <c r="F865" s="96" t="n">
        <v>2</v>
      </c>
      <c r="G865" s="97" t="n">
        <v>10.72</v>
      </c>
    </row>
    <row r="866">
      <c r="C866" s="100" t="n"/>
      <c r="D866" s="96" t="inlineStr">
        <is>
          <t>8029896.0:SAREL APPAREILLAGE ELECTRIQUE - 0.0x438.0x1.2</t>
        </is>
      </c>
      <c r="E866" s="96" t="n">
        <v>0.02</v>
      </c>
      <c r="F866" s="96" t="n">
        <v>1.875</v>
      </c>
      <c r="G866" s="97" t="n">
        <v>12.86</v>
      </c>
    </row>
    <row r="867">
      <c r="C867" s="100" t="n"/>
      <c r="D867" s="96" t="inlineStr">
        <is>
          <t>8029895.0:SAREL APPAREILLAGE ELECTRIQUE - 0.0x846.0x1.5</t>
        </is>
      </c>
      <c r="E867" s="96" t="n">
        <v>0.01</v>
      </c>
      <c r="F867" s="96" t="n">
        <v>1.25</v>
      </c>
      <c r="G867" s="97" t="n">
        <v>11.89</v>
      </c>
    </row>
    <row r="868">
      <c r="C868" s="100" t="n"/>
      <c r="D868" s="96" t="inlineStr">
        <is>
          <t>8029924.0:SAREL APPAREILLAGE ELECTRIQUE - 0.0x1039.0x1.15</t>
        </is>
      </c>
      <c r="E868" s="96" t="n">
        <v>0.02</v>
      </c>
      <c r="F868" s="96" t="n">
        <v>2.5</v>
      </c>
      <c r="G868" s="97" t="n">
        <v>14.77</v>
      </c>
    </row>
    <row r="869">
      <c r="C869" s="100" t="n"/>
      <c r="D869" s="96" t="inlineStr">
        <is>
          <t>8029928.0:SAREL APPAREILLAGE ELECTRIQUE - 0.0x447.0x1.0</t>
        </is>
      </c>
      <c r="E869" s="96" t="n">
        <v>0.01</v>
      </c>
      <c r="F869" s="96" t="n">
        <v>1.25</v>
      </c>
      <c r="G869" s="97" t="n">
        <v>11.38</v>
      </c>
    </row>
    <row r="870">
      <c r="C870" s="100" t="n"/>
      <c r="D870" s="96" t="inlineStr">
        <is>
          <t>8029923.0:SAREL APPAREILLAGE ELECTRIQUE - 0.0x1239.0x1.15</t>
        </is>
      </c>
      <c r="E870" s="96" t="n">
        <v>0.02</v>
      </c>
      <c r="F870" s="96" t="n">
        <v>2.25</v>
      </c>
      <c r="G870" s="97" t="n">
        <v>12.83</v>
      </c>
    </row>
    <row r="871">
      <c r="C871" s="100" t="n"/>
      <c r="D871" s="96" t="inlineStr">
        <is>
          <t>8029894.0:SAREL APPAREILLAGE ELECTRIQUE - 0.0x338.0x1.2</t>
        </is>
      </c>
      <c r="E871" s="96" t="n">
        <v>0.01</v>
      </c>
      <c r="F871" s="96" t="n">
        <v>0.45</v>
      </c>
      <c r="G871" s="97" t="n">
        <v>11.67</v>
      </c>
    </row>
    <row r="872">
      <c r="C872" s="100" t="n"/>
      <c r="D872" s="96" t="inlineStr">
        <is>
          <t>8029898.0:SAREL APPAREILLAGE ELECTRIQUE - 0.0x638.0x1.2</t>
        </is>
      </c>
      <c r="E872" s="96" t="n">
        <v>0.03</v>
      </c>
      <c r="F872" s="96" t="n">
        <v>2.5</v>
      </c>
      <c r="G872" s="97" t="n">
        <v>11.51</v>
      </c>
    </row>
    <row r="873">
      <c r="C873" s="100" t="n"/>
      <c r="D873" s="96" t="inlineStr">
        <is>
          <t>8029926.0:SAREL APPAREILLAGE ELECTRIQUE - 0.0x740.0x1.0</t>
        </is>
      </c>
      <c r="E873" s="96" t="n">
        <v>0.01</v>
      </c>
      <c r="F873" s="96" t="n">
        <v>1</v>
      </c>
      <c r="G873" s="97" t="n">
        <v>21.71</v>
      </c>
    </row>
    <row r="874">
      <c r="C874" s="100" t="n"/>
      <c r="D874" s="101" t="inlineStr">
        <is>
          <t>8029927.0:SAREL APPAREILLAGE ELECTRIQUE - 0.0x347.0x1.0</t>
        </is>
      </c>
      <c r="E874" s="101" t="n">
        <v>0</v>
      </c>
      <c r="F874" s="101" t="n">
        <v>0.4</v>
      </c>
      <c r="G874" s="102" t="n">
        <v>17.4</v>
      </c>
    </row>
    <row r="875">
      <c r="C875" s="103" t="n"/>
      <c r="D875" s="104" t="inlineStr">
        <is>
          <t>8106250.0:GESTAMP NOURY S.A. - 0.0x157.3x1.8</t>
        </is>
      </c>
      <c r="E875" s="104" t="n">
        <v>0.02</v>
      </c>
      <c r="F875" s="104" t="n">
        <v>2.7</v>
      </c>
      <c r="G875" s="105" t="n">
        <v>22.7</v>
      </c>
    </row>
    <row r="879">
      <c r="C879" s="92" t="inlineStr">
        <is>
          <t>Details for : R1 serie - Postes Forecast W6</t>
        </is>
      </c>
      <c r="D879" s="93" t="inlineStr">
        <is>
          <t>Article : Client - Length x Width x Thickness</t>
        </is>
      </c>
      <c r="E879" s="93" t="inlineStr">
        <is>
          <t>Postes</t>
        </is>
      </c>
      <c r="F879" s="93" t="inlineStr">
        <is>
          <t>Tonnes</t>
        </is>
      </c>
      <c r="G879" s="94" t="inlineStr">
        <is>
          <t>Productivity</t>
        </is>
      </c>
    </row>
    <row r="880">
      <c r="C880" s="95" t="inlineStr">
        <is>
          <t>Sum Tonnes : 892.04</t>
        </is>
      </c>
      <c r="D880" s="96" t="inlineStr">
        <is>
          <t>8085848.0:BUBENDORFF SAS - 0.0x185.0x0.6</t>
        </is>
      </c>
      <c r="E880" s="96" t="n">
        <v>0.13</v>
      </c>
      <c r="F880" s="96" t="n">
        <v>20</v>
      </c>
      <c r="G880" s="97" t="n">
        <v>19.99</v>
      </c>
    </row>
    <row r="881">
      <c r="C881" s="95" t="inlineStr">
        <is>
          <t>Sum Postes : 5.78</t>
        </is>
      </c>
      <c r="D881" s="96" t="inlineStr">
        <is>
          <t>8013866.0:MA SRL - 0.0x265.0x0.95</t>
        </is>
      </c>
      <c r="E881" s="96" t="n">
        <v>0.36</v>
      </c>
      <c r="F881" s="96" t="n">
        <v>40</v>
      </c>
      <c r="G881" s="97" t="n">
        <v>14.83</v>
      </c>
    </row>
    <row r="882">
      <c r="C882" s="95" t="inlineStr">
        <is>
          <t>Average Productivity : 18.33</t>
        </is>
      </c>
      <c r="D882" s="96" t="inlineStr">
        <is>
          <t>8013898.0:GESTAMP NOURY S.A. - 0.0x289.3x1.5</t>
        </is>
      </c>
      <c r="E882" s="96" t="n">
        <v>0.21</v>
      </c>
      <c r="F882" s="96" t="n">
        <v>30</v>
      </c>
      <c r="G882" s="97" t="n">
        <v>18.88</v>
      </c>
    </row>
    <row r="883">
      <c r="C883" s="100" t="n"/>
      <c r="D883" s="96" t="inlineStr">
        <is>
          <t>8014488.0:TRICO BELGIUM SA - 0.0x120.0x1.48</t>
        </is>
      </c>
      <c r="E883" s="96" t="n">
        <v>0.25</v>
      </c>
      <c r="F883" s="96" t="n">
        <v>25</v>
      </c>
      <c r="G883" s="97" t="n">
        <v>13.52</v>
      </c>
    </row>
    <row r="884">
      <c r="C884" s="100" t="n"/>
      <c r="D884" s="96" t="inlineStr">
        <is>
          <t>8017856.0:MA POLSKA - 0.0x293.5x0.95</t>
        </is>
      </c>
      <c r="E884" s="96" t="n">
        <v>0.31</v>
      </c>
      <c r="F884" s="96" t="n">
        <v>50</v>
      </c>
      <c r="G884" s="97" t="n">
        <v>21.17</v>
      </c>
    </row>
    <row r="885">
      <c r="C885" s="100" t="n"/>
      <c r="D885" s="96" t="inlineStr">
        <is>
          <t>8022954.0:BAOMARC - 0.0x365.9x1.8</t>
        </is>
      </c>
      <c r="E885" s="96" t="n">
        <v>0.2</v>
      </c>
      <c r="F885" s="96" t="n">
        <v>48</v>
      </c>
      <c r="G885" s="97" t="n">
        <v>31.7</v>
      </c>
    </row>
    <row r="886">
      <c r="C886" s="100" t="n"/>
      <c r="D886" s="96" t="inlineStr">
        <is>
          <t>8022983.0:BAOMARC - 0.0x248.0x2.1</t>
        </is>
      </c>
      <c r="E886" s="96" t="n">
        <v>0.06</v>
      </c>
      <c r="F886" s="96" t="n">
        <v>12</v>
      </c>
      <c r="G886" s="97" t="n">
        <v>27.66</v>
      </c>
    </row>
    <row r="887">
      <c r="C887" s="100" t="n"/>
      <c r="D887" s="96" t="inlineStr">
        <is>
          <t>8027664.0:SNOP VILLEPINTE - 0.0x212.8x1.15</t>
        </is>
      </c>
      <c r="E887" s="96" t="n">
        <v>0.42</v>
      </c>
      <c r="F887" s="96" t="n">
        <v>91.44</v>
      </c>
      <c r="G887" s="97" t="n">
        <v>28.95</v>
      </c>
    </row>
    <row r="888">
      <c r="C888" s="100" t="n"/>
      <c r="D888" s="96" t="inlineStr">
        <is>
          <t>8027662.0:SNOP VILLEPINTE - 0.0x101.5x1.05</t>
        </is>
      </c>
      <c r="E888" s="96" t="n">
        <v>0.25</v>
      </c>
      <c r="F888" s="96" t="n">
        <v>33.66</v>
      </c>
      <c r="G888" s="97" t="n">
        <v>17.64</v>
      </c>
    </row>
    <row r="889">
      <c r="C889" s="100" t="n"/>
      <c r="D889" s="96" t="inlineStr">
        <is>
          <t>8008096.0:GESTAMP NOURY S.A. - 0.0x260.4x1.5</t>
        </is>
      </c>
      <c r="E889" s="96" t="n">
        <v>0.28</v>
      </c>
      <c r="F889" s="96" t="n">
        <v>48</v>
      </c>
      <c r="G889" s="97" t="n">
        <v>23.04</v>
      </c>
    </row>
    <row r="890">
      <c r="C890" s="100" t="n"/>
      <c r="D890" s="96" t="inlineStr">
        <is>
          <t>8050618.0:MA POLSKA - 0.0x320.0x1.4</t>
        </is>
      </c>
      <c r="E890" s="96" t="n">
        <v>0.25</v>
      </c>
      <c r="F890" s="96" t="n">
        <v>44</v>
      </c>
      <c r="G890" s="97" t="n">
        <v>23.18</v>
      </c>
    </row>
    <row r="891">
      <c r="C891" s="100" t="n"/>
      <c r="D891" s="96" t="inlineStr">
        <is>
          <t>8058392.0:BAOMARC - 0.0x563.0x2.0</t>
        </is>
      </c>
      <c r="E891" s="96" t="n">
        <v>0.31</v>
      </c>
      <c r="F891" s="96" t="n">
        <v>48</v>
      </c>
      <c r="G891" s="97" t="n">
        <v>20.81</v>
      </c>
    </row>
    <row r="892">
      <c r="C892" s="100" t="n"/>
      <c r="D892" s="98" t="inlineStr">
        <is>
          <t>8061680.0:SNOP VILLEPINTE - 0.0x298.8x1.05</t>
        </is>
      </c>
      <c r="E892" s="98" t="n">
        <v>0.59</v>
      </c>
      <c r="F892" s="98" t="n">
        <v>138.46</v>
      </c>
      <c r="G892" s="99" t="n">
        <v>31.35</v>
      </c>
    </row>
    <row r="893">
      <c r="C893" s="100" t="n"/>
      <c r="D893" s="96" t="inlineStr">
        <is>
          <t>8061732.0:SNOP VILLEPINTE - 0.0x302.3x1.2</t>
        </is>
      </c>
      <c r="E893" s="96" t="n">
        <v>0.39</v>
      </c>
      <c r="F893" s="96" t="n">
        <v>76.44</v>
      </c>
      <c r="G893" s="97" t="n">
        <v>26.19</v>
      </c>
    </row>
    <row r="894">
      <c r="C894" s="100" t="n"/>
      <c r="D894" s="96" t="inlineStr">
        <is>
          <t>8029922.0:SAREL APPAREILLAGE ELECTRIQUE - 0.0x1139.0x1.15</t>
        </is>
      </c>
      <c r="E894" s="96" t="n">
        <v>0.02</v>
      </c>
      <c r="F894" s="96" t="n">
        <v>2</v>
      </c>
      <c r="G894" s="97" t="n">
        <v>12.45</v>
      </c>
    </row>
    <row r="895">
      <c r="C895" s="100" t="n"/>
      <c r="D895" s="96" t="inlineStr">
        <is>
          <t>8029925.0:SAREL APPAREILLAGE ELECTRIQUE - 0.0x640.0x1.0</t>
        </is>
      </c>
      <c r="E895" s="96" t="n">
        <v>0.01</v>
      </c>
      <c r="F895" s="96" t="n">
        <v>0.9</v>
      </c>
      <c r="G895" s="97" t="n">
        <v>19.52</v>
      </c>
    </row>
    <row r="896">
      <c r="C896" s="100" t="n"/>
      <c r="D896" s="96" t="inlineStr">
        <is>
          <t>8029911.0:SAREL APPAREILLAGE ELECTRIQUE - 0.0x821.5x1.5</t>
        </is>
      </c>
      <c r="E896" s="96" t="n">
        <v>0.01</v>
      </c>
      <c r="F896" s="96" t="n">
        <v>1.72</v>
      </c>
      <c r="G896" s="97" t="n">
        <v>18.03</v>
      </c>
    </row>
    <row r="897">
      <c r="C897" s="100" t="n"/>
      <c r="D897" s="96" t="inlineStr">
        <is>
          <t>8029912.0:SAREL APPAREILLAGE ELECTRIQUE - 0.0x1046.0x1.5</t>
        </is>
      </c>
      <c r="E897" s="96" t="n">
        <v>0.02</v>
      </c>
      <c r="F897" s="96" t="n">
        <v>2</v>
      </c>
      <c r="G897" s="97" t="n">
        <v>15.39</v>
      </c>
    </row>
    <row r="898">
      <c r="C898" s="100" t="n"/>
      <c r="D898" s="96" t="inlineStr">
        <is>
          <t>8029931.0:SAREL APPAREILLAGE ELECTRIQUE - 0.0x521.5x1.5</t>
        </is>
      </c>
      <c r="E898" s="96" t="n">
        <v>0.02</v>
      </c>
      <c r="F898" s="96" t="n">
        <v>1.2</v>
      </c>
      <c r="G898" s="97" t="n">
        <v>8.08</v>
      </c>
    </row>
    <row r="899">
      <c r="C899" s="100" t="n"/>
      <c r="D899" s="96" t="inlineStr">
        <is>
          <t>8029910.0:SAREL APPAREILLAGE ELECTRIQUE - 0.0x621.5x1.5</t>
        </is>
      </c>
      <c r="E899" s="96" t="n">
        <v>0.04</v>
      </c>
      <c r="F899" s="96" t="n">
        <v>1.92</v>
      </c>
      <c r="G899" s="97" t="n">
        <v>6.76</v>
      </c>
    </row>
    <row r="900">
      <c r="C900" s="100" t="n"/>
      <c r="D900" s="96" t="inlineStr">
        <is>
          <t>8029913.0:SAREL APPAREILLAGE ELECTRIQUE - 0.0x1246.0x1.5</t>
        </is>
      </c>
      <c r="E900" s="96" t="n">
        <v>0.01</v>
      </c>
      <c r="F900" s="96" t="n">
        <v>1.8</v>
      </c>
      <c r="G900" s="97" t="n">
        <v>36.19</v>
      </c>
    </row>
    <row r="901">
      <c r="C901" s="100" t="n"/>
      <c r="D901" s="96" t="inlineStr">
        <is>
          <t>8029909.0:SAREL APPAREILLAGE ELECTRIQUE - 0.0x421.5x1.5</t>
        </is>
      </c>
      <c r="E901" s="96" t="n">
        <v>0.02</v>
      </c>
      <c r="F901" s="96" t="n">
        <v>2</v>
      </c>
      <c r="G901" s="97" t="n">
        <v>16.65</v>
      </c>
    </row>
    <row r="902">
      <c r="C902" s="100" t="n"/>
      <c r="D902" s="96" t="inlineStr">
        <is>
          <t>8029920.0:SAREL APPAREILLAGE ELECTRIQUE - 0.0x589.0x1.8</t>
        </is>
      </c>
      <c r="E902" s="96" t="n">
        <v>0.02</v>
      </c>
      <c r="F902" s="96" t="n">
        <v>1.4</v>
      </c>
      <c r="G902" s="97" t="n">
        <v>12.41</v>
      </c>
    </row>
    <row r="903">
      <c r="C903" s="100" t="n"/>
      <c r="D903" s="96" t="inlineStr">
        <is>
          <t>8040446.0:SAREL APPAREILLAGE ELECTRIQUE - 0.0x797.0x2.5</t>
        </is>
      </c>
      <c r="E903" s="96" t="n">
        <v>0.62</v>
      </c>
      <c r="F903" s="96" t="n">
        <v>40</v>
      </c>
      <c r="G903" s="97" t="n">
        <v>8.609999999999999</v>
      </c>
    </row>
    <row r="904">
      <c r="C904" s="100" t="n"/>
      <c r="D904" s="96" t="inlineStr">
        <is>
          <t>8052106.0:SAREL APPAREILLAGE ELECTRIQUE - 0.0x225.9x1.5</t>
        </is>
      </c>
      <c r="E904" s="96" t="n">
        <v>0.68</v>
      </c>
      <c r="F904" s="96" t="n">
        <v>100</v>
      </c>
      <c r="G904" s="97" t="n">
        <v>19.56</v>
      </c>
    </row>
    <row r="905">
      <c r="C905" s="100" t="n"/>
      <c r="D905" s="96" t="inlineStr">
        <is>
          <t>8029921.0:SAREL APPAREILLAGE ELECTRIQUE - 0.0x840.0x1.0</t>
        </is>
      </c>
      <c r="E905" s="96" t="n">
        <v>0.02</v>
      </c>
      <c r="F905" s="96" t="n">
        <v>1.8</v>
      </c>
      <c r="G905" s="97" t="n">
        <v>10.54</v>
      </c>
    </row>
    <row r="906">
      <c r="C906" s="100" t="n"/>
      <c r="D906" s="96" t="inlineStr">
        <is>
          <t>8029907.0:SAREL APPAREILLAGE ELECTRIQUE - 0.0x1021.5x1.5</t>
        </is>
      </c>
      <c r="E906" s="96" t="n">
        <v>0.01</v>
      </c>
      <c r="F906" s="96" t="n">
        <v>0.88</v>
      </c>
      <c r="G906" s="97" t="n">
        <v>10.51</v>
      </c>
    </row>
    <row r="907">
      <c r="C907" s="100" t="n"/>
      <c r="D907" s="96" t="inlineStr">
        <is>
          <t>8029930.0:SAREL APPAREILLAGE ELECTRIQUE - 0.0x1040.0x1.0</t>
        </is>
      </c>
      <c r="E907" s="96" t="n">
        <v>0.01</v>
      </c>
      <c r="F907" s="96" t="n">
        <v>1</v>
      </c>
      <c r="G907" s="97" t="n">
        <v>8.93</v>
      </c>
    </row>
    <row r="908">
      <c r="C908" s="100" t="n"/>
      <c r="D908" s="96" t="inlineStr">
        <is>
          <t>8029916.0:SAREL APPAREILLAGE ELECTRIQUE - 0.0x789.0x1.8</t>
        </is>
      </c>
      <c r="E908" s="96" t="n">
        <v>0.03</v>
      </c>
      <c r="F908" s="96" t="n">
        <v>3.6</v>
      </c>
      <c r="G908" s="97" t="n">
        <v>15.75</v>
      </c>
    </row>
    <row r="909">
      <c r="C909" s="100" t="n"/>
      <c r="D909" s="96" t="inlineStr">
        <is>
          <t>8029919.0:SAREL APPAREILLAGE ELECTRIQUE - 0.0x389.0x1.8</t>
        </is>
      </c>
      <c r="E909" s="96" t="n">
        <v>0.01</v>
      </c>
      <c r="F909" s="96" t="n">
        <v>0.8</v>
      </c>
      <c r="G909" s="97" t="n">
        <v>10.33</v>
      </c>
    </row>
    <row r="910">
      <c r="C910" s="100" t="n"/>
      <c r="D910" s="96" t="inlineStr">
        <is>
          <t>8029917.0:SAREL APPAREILLAGE ELECTRIQUE - 0.0x989.0x1.8</t>
        </is>
      </c>
      <c r="E910" s="96" t="n">
        <v>0.02</v>
      </c>
      <c r="F910" s="96" t="n">
        <v>2</v>
      </c>
      <c r="G910" s="97" t="n">
        <v>13.77</v>
      </c>
    </row>
    <row r="911">
      <c r="C911" s="100" t="n"/>
      <c r="D911" s="96" t="inlineStr">
        <is>
          <t>8029893.0:SAREL APPAREILLAGE ELECTRIQUE - 0.0x940.0x1.0</t>
        </is>
      </c>
      <c r="E911" s="96" t="n">
        <v>0.04</v>
      </c>
      <c r="F911" s="96" t="n">
        <v>3.2</v>
      </c>
      <c r="G911" s="97" t="n">
        <v>10.72</v>
      </c>
    </row>
    <row r="912">
      <c r="C912" s="100" t="n"/>
      <c r="D912" s="96" t="inlineStr">
        <is>
          <t>8029895.0:SAREL APPAREILLAGE ELECTRIQUE - 0.0x846.0x1.5</t>
        </is>
      </c>
      <c r="E912" s="96" t="n">
        <v>0.01</v>
      </c>
      <c r="F912" s="96" t="n">
        <v>1</v>
      </c>
      <c r="G912" s="97" t="n">
        <v>11.89</v>
      </c>
    </row>
    <row r="913">
      <c r="C913" s="100" t="n"/>
      <c r="D913" s="96" t="inlineStr">
        <is>
          <t>8029928.0:SAREL APPAREILLAGE ELECTRIQUE - 0.0x447.0x1.0</t>
        </is>
      </c>
      <c r="E913" s="96" t="n">
        <v>0.01</v>
      </c>
      <c r="F913" s="96" t="n">
        <v>0.5</v>
      </c>
      <c r="G913" s="97" t="n">
        <v>11.38</v>
      </c>
    </row>
    <row r="914">
      <c r="C914" s="100" t="n"/>
      <c r="D914" s="96" t="inlineStr">
        <is>
          <t>8029923.0:SAREL APPAREILLAGE ELECTRIQUE - 0.0x1239.0x1.15</t>
        </is>
      </c>
      <c r="E914" s="96" t="n">
        <v>0.02</v>
      </c>
      <c r="F914" s="96" t="n">
        <v>1.8</v>
      </c>
      <c r="G914" s="97" t="n">
        <v>12.83</v>
      </c>
    </row>
    <row r="915">
      <c r="C915" s="100" t="n"/>
      <c r="D915" s="96" t="inlineStr">
        <is>
          <t>8029901.0:SAREL APPAREILLAGE ELECTRIQUE - 0.0x839.0x1.5</t>
        </is>
      </c>
      <c r="E915" s="96" t="n">
        <v>0.04</v>
      </c>
      <c r="F915" s="96" t="n">
        <v>1</v>
      </c>
      <c r="G915" s="97" t="n">
        <v>3.29</v>
      </c>
    </row>
    <row r="916">
      <c r="C916" s="100" t="n"/>
      <c r="D916" s="96" t="inlineStr">
        <is>
          <t>8029894.0:SAREL APPAREILLAGE ELECTRIQUE - 0.0x338.0x1.2</t>
        </is>
      </c>
      <c r="E916" s="96" t="n">
        <v>0</v>
      </c>
      <c r="F916" s="96" t="n">
        <v>0.36</v>
      </c>
      <c r="G916" s="97" t="n">
        <v>11.67</v>
      </c>
    </row>
    <row r="917">
      <c r="C917" s="100" t="n"/>
      <c r="D917" s="96" t="inlineStr">
        <is>
          <t>8029926.0:SAREL APPAREILLAGE ELECTRIQUE - 0.0x740.0x1.0</t>
        </is>
      </c>
      <c r="E917" s="96" t="n">
        <v>0</v>
      </c>
      <c r="F917" s="96" t="n">
        <v>0.8</v>
      </c>
      <c r="G917" s="97" t="n">
        <v>21.71</v>
      </c>
    </row>
    <row r="918">
      <c r="C918" s="100" t="n"/>
      <c r="D918" s="101" t="inlineStr">
        <is>
          <t>8029927.0:SAREL APPAREILLAGE ELECTRIQUE - 0.0x347.0x1.0</t>
        </is>
      </c>
      <c r="E918" s="101" t="n">
        <v>0</v>
      </c>
      <c r="F918" s="101" t="n">
        <v>0.32</v>
      </c>
      <c r="G918" s="102" t="n">
        <v>17.4</v>
      </c>
    </row>
    <row r="919">
      <c r="C919" s="100" t="n"/>
      <c r="D919" s="96" t="inlineStr">
        <is>
          <t>8106250.0:GESTAMP NOURY S.A. - 0.0x157.3x1.8</t>
        </is>
      </c>
      <c r="E919" s="96" t="n">
        <v>0.07000000000000001</v>
      </c>
      <c r="F919" s="96" t="n">
        <v>12.044</v>
      </c>
      <c r="G919" s="97" t="n">
        <v>22.7</v>
      </c>
    </row>
    <row r="920">
      <c r="C920" s="103" t="n"/>
      <c r="D920" s="104" t="inlineStr">
        <is>
          <t>8106440.0:MAGNA LORRAINE - 0.0x590.0x0.6</t>
        </is>
      </c>
      <c r="E920" s="104" t="n">
        <v>0.01</v>
      </c>
      <c r="F920" s="104" t="n">
        <v>1</v>
      </c>
      <c r="G920" s="105" t="n">
        <v>14.02</v>
      </c>
    </row>
    <row r="924">
      <c r="C924" s="92" t="inlineStr">
        <is>
          <t>Details for : R1 serie - Postes Forecast W7</t>
        </is>
      </c>
      <c r="D924" s="93" t="inlineStr">
        <is>
          <t>Article : Client - Length x Width x Thickness</t>
        </is>
      </c>
      <c r="E924" s="93" t="inlineStr">
        <is>
          <t>Postes</t>
        </is>
      </c>
      <c r="F924" s="93" t="inlineStr">
        <is>
          <t>Tonnes</t>
        </is>
      </c>
      <c r="G924" s="94" t="inlineStr">
        <is>
          <t>Productivity</t>
        </is>
      </c>
    </row>
    <row r="925">
      <c r="C925" s="95" t="inlineStr">
        <is>
          <t>Sum Tonnes : 399.03</t>
        </is>
      </c>
      <c r="D925" s="96" t="inlineStr">
        <is>
          <t>8012349.0:TRICO BELGIUM SA - 0.0x320.0x1.0</t>
        </is>
      </c>
      <c r="E925" s="96" t="n">
        <v>0.16</v>
      </c>
      <c r="F925" s="96" t="n">
        <v>12</v>
      </c>
      <c r="G925" s="97" t="n">
        <v>10.05</v>
      </c>
    </row>
    <row r="926">
      <c r="C926" s="95" t="inlineStr">
        <is>
          <t>Sum Postes : 2.85</t>
        </is>
      </c>
      <c r="D926" s="96" t="inlineStr">
        <is>
          <t>8012353.0:TRICO BELGIUM SA - 0.0x296.0x1.0</t>
        </is>
      </c>
      <c r="E926" s="96" t="n">
        <v>0.2</v>
      </c>
      <c r="F926" s="96" t="n">
        <v>12</v>
      </c>
      <c r="G926" s="97" t="n">
        <v>8.130000000000001</v>
      </c>
    </row>
    <row r="927">
      <c r="C927" s="95" t="inlineStr">
        <is>
          <t>Average Productivity : 18.33</t>
        </is>
      </c>
      <c r="D927" s="96" t="inlineStr">
        <is>
          <t>8012019.0:STEEL CENTER EUROPE S.R.O. - 0.0x158.0x4.0</t>
        </is>
      </c>
      <c r="E927" s="96" t="n">
        <v>0.19</v>
      </c>
      <c r="F927" s="96" t="n">
        <v>15</v>
      </c>
      <c r="G927" s="97" t="n">
        <v>10.39</v>
      </c>
    </row>
    <row r="928">
      <c r="C928" s="100" t="n"/>
      <c r="D928" s="96" t="inlineStr">
        <is>
          <t>8012047.0:STEEL CENTER EUROPE S.R.O. - 0.0x218.0x4.0</t>
        </is>
      </c>
      <c r="E928" s="96" t="n">
        <v>0.25</v>
      </c>
      <c r="F928" s="96" t="n">
        <v>30</v>
      </c>
      <c r="G928" s="97" t="n">
        <v>16.12</v>
      </c>
    </row>
    <row r="929">
      <c r="C929" s="100" t="n"/>
      <c r="D929" s="96" t="inlineStr">
        <is>
          <t>8012020.0:STEEL CENTER EUROPE S.R.O. - 0.0x312.0x4.0</t>
        </is>
      </c>
      <c r="E929" s="96" t="n">
        <v>0.17</v>
      </c>
      <c r="F929" s="96" t="n">
        <v>15</v>
      </c>
      <c r="G929" s="97" t="n">
        <v>11.74</v>
      </c>
    </row>
    <row r="930">
      <c r="C930" s="100" t="n"/>
      <c r="D930" s="96" t="inlineStr">
        <is>
          <t>8017856.0:MA POLSKA - 0.0x293.5x0.95</t>
        </is>
      </c>
      <c r="E930" s="96" t="n">
        <v>0.31</v>
      </c>
      <c r="F930" s="96" t="n">
        <v>50</v>
      </c>
      <c r="G930" s="97" t="n">
        <v>21.17</v>
      </c>
    </row>
    <row r="931">
      <c r="C931" s="100" t="n"/>
      <c r="D931" s="96" t="inlineStr">
        <is>
          <t>8027664.0:SNOP VILLEPINTE - 0.0x212.8x1.15</t>
        </is>
      </c>
      <c r="E931" s="96" t="n">
        <v>0.19</v>
      </c>
      <c r="F931" s="96" t="n">
        <v>41.04</v>
      </c>
      <c r="G931" s="97" t="n">
        <v>28.95</v>
      </c>
    </row>
    <row r="932">
      <c r="C932" s="100" t="n"/>
      <c r="D932" s="96" t="inlineStr">
        <is>
          <t>8027662.0:SNOP VILLEPINTE - 0.0x101.5x1.05</t>
        </is>
      </c>
      <c r="E932" s="96" t="n">
        <v>0.11</v>
      </c>
      <c r="F932" s="96" t="n">
        <v>14.96</v>
      </c>
      <c r="G932" s="97" t="n">
        <v>17.64</v>
      </c>
    </row>
    <row r="933">
      <c r="C933" s="100" t="n"/>
      <c r="D933" s="96" t="inlineStr">
        <is>
          <t>8050618.0:MA POLSKA - 0.0x320.0x1.4</t>
        </is>
      </c>
      <c r="E933" s="96" t="n">
        <v>0.25</v>
      </c>
      <c r="F933" s="96" t="n">
        <v>44</v>
      </c>
      <c r="G933" s="97" t="n">
        <v>23.18</v>
      </c>
    </row>
    <row r="934">
      <c r="C934" s="100" t="n"/>
      <c r="D934" s="98" t="inlineStr">
        <is>
          <t>8061680.0:SNOP VILLEPINTE - 0.0x298.8x1.05</t>
        </is>
      </c>
      <c r="E934" s="98" t="n">
        <v>0.3</v>
      </c>
      <c r="F934" s="98" t="n">
        <v>69.66</v>
      </c>
      <c r="G934" s="99" t="n">
        <v>31.35</v>
      </c>
    </row>
    <row r="935">
      <c r="C935" s="100" t="n"/>
      <c r="D935" s="96" t="inlineStr">
        <is>
          <t>8061732.0:SNOP VILLEPINTE - 0.0x302.3x1.2</t>
        </is>
      </c>
      <c r="E935" s="96" t="n">
        <v>0.22</v>
      </c>
      <c r="F935" s="96" t="n">
        <v>42.84</v>
      </c>
      <c r="G935" s="97" t="n">
        <v>26.19</v>
      </c>
    </row>
    <row r="936">
      <c r="C936" s="100" t="n"/>
      <c r="D936" s="96" t="inlineStr">
        <is>
          <t>8029922.0:SAREL APPAREILLAGE ELECTRIQUE - 0.0x1139.0x1.15</t>
        </is>
      </c>
      <c r="E936" s="96" t="n">
        <v>0.02</v>
      </c>
      <c r="F936" s="96" t="n">
        <v>2</v>
      </c>
      <c r="G936" s="97" t="n">
        <v>12.45</v>
      </c>
    </row>
    <row r="937">
      <c r="C937" s="100" t="n"/>
      <c r="D937" s="96" t="inlineStr">
        <is>
          <t>8029925.0:SAREL APPAREILLAGE ELECTRIQUE - 0.0x640.0x1.0</t>
        </is>
      </c>
      <c r="E937" s="96" t="n">
        <v>0.01</v>
      </c>
      <c r="F937" s="96" t="n">
        <v>0.9</v>
      </c>
      <c r="G937" s="97" t="n">
        <v>19.52</v>
      </c>
    </row>
    <row r="938">
      <c r="C938" s="100" t="n"/>
      <c r="D938" s="96" t="inlineStr">
        <is>
          <t>8029911.0:SAREL APPAREILLAGE ELECTRIQUE - 0.0x821.5x1.5</t>
        </is>
      </c>
      <c r="E938" s="96" t="n">
        <v>0.01</v>
      </c>
      <c r="F938" s="96" t="n">
        <v>1.72</v>
      </c>
      <c r="G938" s="97" t="n">
        <v>18.03</v>
      </c>
    </row>
    <row r="939">
      <c r="C939" s="100" t="n"/>
      <c r="D939" s="96" t="inlineStr">
        <is>
          <t>8029912.0:SAREL APPAREILLAGE ELECTRIQUE - 0.0x1046.0x1.5</t>
        </is>
      </c>
      <c r="E939" s="96" t="n">
        <v>0.02</v>
      </c>
      <c r="F939" s="96" t="n">
        <v>2</v>
      </c>
      <c r="G939" s="97" t="n">
        <v>15.39</v>
      </c>
    </row>
    <row r="940">
      <c r="C940" s="100" t="n"/>
      <c r="D940" s="96" t="inlineStr">
        <is>
          <t>8029931.0:SAREL APPAREILLAGE ELECTRIQUE - 0.0x521.5x1.5</t>
        </is>
      </c>
      <c r="E940" s="96" t="n">
        <v>0.02</v>
      </c>
      <c r="F940" s="96" t="n">
        <v>1.2</v>
      </c>
      <c r="G940" s="97" t="n">
        <v>8.08</v>
      </c>
    </row>
    <row r="941">
      <c r="C941" s="100" t="n"/>
      <c r="D941" s="96" t="inlineStr">
        <is>
          <t>8029910.0:SAREL APPAREILLAGE ELECTRIQUE - 0.0x621.5x1.5</t>
        </is>
      </c>
      <c r="E941" s="96" t="n">
        <v>0.04</v>
      </c>
      <c r="F941" s="96" t="n">
        <v>1.92</v>
      </c>
      <c r="G941" s="97" t="n">
        <v>6.76</v>
      </c>
    </row>
    <row r="942">
      <c r="C942" s="100" t="n"/>
      <c r="D942" s="96" t="inlineStr">
        <is>
          <t>8029913.0:SAREL APPAREILLAGE ELECTRIQUE - 0.0x1246.0x1.5</t>
        </is>
      </c>
      <c r="E942" s="96" t="n">
        <v>0.01</v>
      </c>
      <c r="F942" s="96" t="n">
        <v>1.8</v>
      </c>
      <c r="G942" s="97" t="n">
        <v>36.19</v>
      </c>
    </row>
    <row r="943">
      <c r="C943" s="100" t="n"/>
      <c r="D943" s="96" t="inlineStr">
        <is>
          <t>8029909.0:SAREL APPAREILLAGE ELECTRIQUE - 0.0x421.5x1.5</t>
        </is>
      </c>
      <c r="E943" s="96" t="n">
        <v>0.02</v>
      </c>
      <c r="F943" s="96" t="n">
        <v>2</v>
      </c>
      <c r="G943" s="97" t="n">
        <v>16.65</v>
      </c>
    </row>
    <row r="944">
      <c r="C944" s="100" t="n"/>
      <c r="D944" s="96" t="inlineStr">
        <is>
          <t>8029920.0:SAREL APPAREILLAGE ELECTRIQUE - 0.0x589.0x1.8</t>
        </is>
      </c>
      <c r="E944" s="96" t="n">
        <v>0.02</v>
      </c>
      <c r="F944" s="96" t="n">
        <v>1.4</v>
      </c>
      <c r="G944" s="97" t="n">
        <v>12.41</v>
      </c>
    </row>
    <row r="945">
      <c r="C945" s="100" t="n"/>
      <c r="D945" s="96" t="inlineStr">
        <is>
          <t>8029921.0:SAREL APPAREILLAGE ELECTRIQUE - 0.0x840.0x1.0</t>
        </is>
      </c>
      <c r="E945" s="96" t="n">
        <v>0.02</v>
      </c>
      <c r="F945" s="96" t="n">
        <v>1.8</v>
      </c>
      <c r="G945" s="97" t="n">
        <v>10.54</v>
      </c>
    </row>
    <row r="946">
      <c r="C946" s="100" t="n"/>
      <c r="D946" s="96" t="inlineStr">
        <is>
          <t>8029907.0:SAREL APPAREILLAGE ELECTRIQUE - 0.0x1021.5x1.5</t>
        </is>
      </c>
      <c r="E946" s="96" t="n">
        <v>0.01</v>
      </c>
      <c r="F946" s="96" t="n">
        <v>0.88</v>
      </c>
      <c r="G946" s="97" t="n">
        <v>10.51</v>
      </c>
    </row>
    <row r="947">
      <c r="C947" s="100" t="n"/>
      <c r="D947" s="96" t="inlineStr">
        <is>
          <t>8029930.0:SAREL APPAREILLAGE ELECTRIQUE - 0.0x1040.0x1.0</t>
        </is>
      </c>
      <c r="E947" s="96" t="n">
        <v>0.01</v>
      </c>
      <c r="F947" s="96" t="n">
        <v>1</v>
      </c>
      <c r="G947" s="97" t="n">
        <v>8.93</v>
      </c>
    </row>
    <row r="948">
      <c r="C948" s="100" t="n"/>
      <c r="D948" s="96" t="inlineStr">
        <is>
          <t>8029916.0:SAREL APPAREILLAGE ELECTRIQUE - 0.0x789.0x1.8</t>
        </is>
      </c>
      <c r="E948" s="96" t="n">
        <v>0.03</v>
      </c>
      <c r="F948" s="96" t="n">
        <v>3.6</v>
      </c>
      <c r="G948" s="97" t="n">
        <v>15.75</v>
      </c>
    </row>
    <row r="949">
      <c r="C949" s="100" t="n"/>
      <c r="D949" s="96" t="inlineStr">
        <is>
          <t>8029919.0:SAREL APPAREILLAGE ELECTRIQUE - 0.0x389.0x1.8</t>
        </is>
      </c>
      <c r="E949" s="96" t="n">
        <v>0.01</v>
      </c>
      <c r="F949" s="96" t="n">
        <v>0.8</v>
      </c>
      <c r="G949" s="97" t="n">
        <v>10.33</v>
      </c>
    </row>
    <row r="950">
      <c r="C950" s="100" t="n"/>
      <c r="D950" s="96" t="inlineStr">
        <is>
          <t>8029917.0:SAREL APPAREILLAGE ELECTRIQUE - 0.0x989.0x1.8</t>
        </is>
      </c>
      <c r="E950" s="96" t="n">
        <v>0.02</v>
      </c>
      <c r="F950" s="96" t="n">
        <v>2</v>
      </c>
      <c r="G950" s="97" t="n">
        <v>13.77</v>
      </c>
    </row>
    <row r="951">
      <c r="C951" s="100" t="n"/>
      <c r="D951" s="96" t="inlineStr">
        <is>
          <t>8029893.0:SAREL APPAREILLAGE ELECTRIQUE - 0.0x940.0x1.0</t>
        </is>
      </c>
      <c r="E951" s="96" t="n">
        <v>0.04</v>
      </c>
      <c r="F951" s="96" t="n">
        <v>3.2</v>
      </c>
      <c r="G951" s="97" t="n">
        <v>10.72</v>
      </c>
    </row>
    <row r="952">
      <c r="C952" s="100" t="n"/>
      <c r="D952" s="96" t="inlineStr">
        <is>
          <t>8029895.0:SAREL APPAREILLAGE ELECTRIQUE - 0.0x846.0x1.5</t>
        </is>
      </c>
      <c r="E952" s="96" t="n">
        <v>0.01</v>
      </c>
      <c r="F952" s="96" t="n">
        <v>1</v>
      </c>
      <c r="G952" s="97" t="n">
        <v>11.89</v>
      </c>
    </row>
    <row r="953">
      <c r="C953" s="100" t="n"/>
      <c r="D953" s="96" t="inlineStr">
        <is>
          <t>8029928.0:SAREL APPAREILLAGE ELECTRIQUE - 0.0x447.0x1.0</t>
        </is>
      </c>
      <c r="E953" s="96" t="n">
        <v>0.01</v>
      </c>
      <c r="F953" s="96" t="n">
        <v>0.5</v>
      </c>
      <c r="G953" s="97" t="n">
        <v>11.38</v>
      </c>
    </row>
    <row r="954">
      <c r="C954" s="100" t="n"/>
      <c r="D954" s="96" t="inlineStr">
        <is>
          <t>8029923.0:SAREL APPAREILLAGE ELECTRIQUE - 0.0x1239.0x1.15</t>
        </is>
      </c>
      <c r="E954" s="96" t="n">
        <v>0.02</v>
      </c>
      <c r="F954" s="96" t="n">
        <v>1.8</v>
      </c>
      <c r="G954" s="97" t="n">
        <v>12.83</v>
      </c>
    </row>
    <row r="955">
      <c r="C955" s="100" t="n"/>
      <c r="D955" s="96" t="inlineStr">
        <is>
          <t>8029901.0:SAREL APPAREILLAGE ELECTRIQUE - 0.0x839.0x1.5</t>
        </is>
      </c>
      <c r="E955" s="96" t="n">
        <v>0.04</v>
      </c>
      <c r="F955" s="96" t="n">
        <v>1</v>
      </c>
      <c r="G955" s="97" t="n">
        <v>3.29</v>
      </c>
    </row>
    <row r="956">
      <c r="C956" s="100" t="n"/>
      <c r="D956" s="96" t="inlineStr">
        <is>
          <t>8029894.0:SAREL APPAREILLAGE ELECTRIQUE - 0.0x338.0x1.2</t>
        </is>
      </c>
      <c r="E956" s="96" t="n">
        <v>0</v>
      </c>
      <c r="F956" s="96" t="n">
        <v>0.36</v>
      </c>
      <c r="G956" s="97" t="n">
        <v>11.67</v>
      </c>
    </row>
    <row r="957">
      <c r="C957" s="100" t="n"/>
      <c r="D957" s="96" t="inlineStr">
        <is>
          <t>8029926.0:SAREL APPAREILLAGE ELECTRIQUE - 0.0x740.0x1.0</t>
        </is>
      </c>
      <c r="E957" s="96" t="n">
        <v>0</v>
      </c>
      <c r="F957" s="96" t="n">
        <v>0.8</v>
      </c>
      <c r="G957" s="97" t="n">
        <v>21.71</v>
      </c>
    </row>
    <row r="958">
      <c r="C958" s="100" t="n"/>
      <c r="D958" s="101" t="inlineStr">
        <is>
          <t>8029927.0:SAREL APPAREILLAGE ELECTRIQUE - 0.0x347.0x1.0</t>
        </is>
      </c>
      <c r="E958" s="101" t="n">
        <v>0</v>
      </c>
      <c r="F958" s="101" t="n">
        <v>0.32</v>
      </c>
      <c r="G958" s="102" t="n">
        <v>17.4</v>
      </c>
    </row>
    <row r="959">
      <c r="C959" s="100" t="n"/>
      <c r="D959" s="96" t="inlineStr">
        <is>
          <t>8088383.0:RENAULT S.A.S - 0.0x650.0x2.0</t>
        </is>
      </c>
      <c r="E959" s="96" t="n">
        <v>0.04</v>
      </c>
      <c r="F959" s="96" t="n">
        <v>6.5</v>
      </c>
      <c r="G959" s="97" t="n">
        <v>22.36</v>
      </c>
    </row>
    <row r="960">
      <c r="C960" s="100" t="n"/>
      <c r="D960" s="96" t="inlineStr">
        <is>
          <t>8106250.0:GESTAMP NOURY S.A. - 0.0x157.3x1.8</t>
        </is>
      </c>
      <c r="E960" s="96" t="n">
        <v>0.06</v>
      </c>
      <c r="F960" s="96" t="n">
        <v>11.034</v>
      </c>
      <c r="G960" s="97" t="n">
        <v>22.7</v>
      </c>
    </row>
    <row r="961">
      <c r="C961" s="103" t="n"/>
      <c r="D961" s="104" t="inlineStr">
        <is>
          <t>8106440.0:MAGNA LORRAINE - 0.0x590.0x0.6</t>
        </is>
      </c>
      <c r="E961" s="104" t="n">
        <v>0.01</v>
      </c>
      <c r="F961" s="104" t="n">
        <v>1</v>
      </c>
      <c r="G961" s="105" t="n">
        <v>14.02</v>
      </c>
    </row>
    <row r="965">
      <c r="C965" s="92" t="inlineStr">
        <is>
          <t>Details for : R1 serie - Postes Forecast W8</t>
        </is>
      </c>
      <c r="D965" s="93" t="inlineStr">
        <is>
          <t>Article : Client - Length x Width x Thickness</t>
        </is>
      </c>
      <c r="E965" s="93" t="inlineStr">
        <is>
          <t>Postes</t>
        </is>
      </c>
      <c r="F965" s="93" t="inlineStr">
        <is>
          <t>Tonnes</t>
        </is>
      </c>
      <c r="G965" s="94" t="inlineStr">
        <is>
          <t>Productivity</t>
        </is>
      </c>
    </row>
    <row r="966">
      <c r="C966" s="95" t="inlineStr">
        <is>
          <t>Sum Tonnes : 400.28</t>
        </is>
      </c>
      <c r="D966" s="96" t="inlineStr">
        <is>
          <t>8029596.0:VIESSMANN FAULQUEMONT SAS - 0.0x576.0x2.5</t>
        </is>
      </c>
      <c r="E966" s="96" t="n">
        <v>0.13</v>
      </c>
      <c r="F966" s="96" t="n">
        <v>20</v>
      </c>
      <c r="G966" s="97" t="n">
        <v>19.79</v>
      </c>
    </row>
    <row r="967">
      <c r="C967" s="95" t="inlineStr">
        <is>
          <t>Sum Postes : 2.53</t>
        </is>
      </c>
      <c r="D967" s="96" t="inlineStr">
        <is>
          <t>8014488.0:TRICO BELGIUM SA - 0.0x120.0x1.48</t>
        </is>
      </c>
      <c r="E967" s="96" t="n">
        <v>0.25</v>
      </c>
      <c r="F967" s="96" t="n">
        <v>25</v>
      </c>
      <c r="G967" s="97" t="n">
        <v>13.52</v>
      </c>
    </row>
    <row r="968">
      <c r="C968" s="95" t="inlineStr">
        <is>
          <t>Average Productivity : 18.33</t>
        </is>
      </c>
      <c r="D968" s="96" t="inlineStr">
        <is>
          <t>8017856.0:MA POLSKA - 0.0x293.5x0.95</t>
        </is>
      </c>
      <c r="E968" s="96" t="n">
        <v>0.31</v>
      </c>
      <c r="F968" s="96" t="n">
        <v>50</v>
      </c>
      <c r="G968" s="97" t="n">
        <v>21.17</v>
      </c>
    </row>
    <row r="969">
      <c r="C969" s="100" t="n"/>
      <c r="D969" s="96" t="inlineStr">
        <is>
          <t>8022968.0:BAOMARC - 0.0x304.0x1.5</t>
        </is>
      </c>
      <c r="E969" s="96" t="n">
        <v>0.18</v>
      </c>
      <c r="F969" s="96" t="n">
        <v>25</v>
      </c>
      <c r="G969" s="97" t="n">
        <v>18.13</v>
      </c>
    </row>
    <row r="970">
      <c r="C970" s="100" t="n"/>
      <c r="D970" s="96" t="inlineStr">
        <is>
          <t>8027664.0:SNOP VILLEPINTE - 0.0x212.8x1.15</t>
        </is>
      </c>
      <c r="E970" s="96" t="n">
        <v>0.19</v>
      </c>
      <c r="F970" s="96" t="n">
        <v>41.04</v>
      </c>
      <c r="G970" s="97" t="n">
        <v>28.95</v>
      </c>
    </row>
    <row r="971">
      <c r="C971" s="100" t="n"/>
      <c r="D971" s="96" t="inlineStr">
        <is>
          <t>8027662.0:SNOP VILLEPINTE - 0.0x101.5x1.05</t>
        </is>
      </c>
      <c r="E971" s="96" t="n">
        <v>0.11</v>
      </c>
      <c r="F971" s="96" t="n">
        <v>14.96</v>
      </c>
      <c r="G971" s="97" t="n">
        <v>17.64</v>
      </c>
    </row>
    <row r="972">
      <c r="C972" s="100" t="n"/>
      <c r="D972" s="96" t="inlineStr">
        <is>
          <t>8008096.0:GESTAMP NOURY S.A. - 0.0x260.4x1.5</t>
        </is>
      </c>
      <c r="E972" s="96" t="n">
        <v>0.1</v>
      </c>
      <c r="F972" s="96" t="n">
        <v>18</v>
      </c>
      <c r="G972" s="97" t="n">
        <v>23.04</v>
      </c>
    </row>
    <row r="973">
      <c r="C973" s="100" t="n"/>
      <c r="D973" s="96" t="inlineStr">
        <is>
          <t>8050618.0:MA POLSKA - 0.0x320.0x1.4</t>
        </is>
      </c>
      <c r="E973" s="96" t="n">
        <v>0.25</v>
      </c>
      <c r="F973" s="96" t="n">
        <v>44</v>
      </c>
      <c r="G973" s="97" t="n">
        <v>23.18</v>
      </c>
    </row>
    <row r="974">
      <c r="C974" s="100" t="n"/>
      <c r="D974" s="98" t="inlineStr">
        <is>
          <t>8061680.0:SNOP VILLEPINTE - 0.0x298.8x1.05</t>
        </is>
      </c>
      <c r="E974" s="98" t="n">
        <v>0.3</v>
      </c>
      <c r="F974" s="98" t="n">
        <v>69.66</v>
      </c>
      <c r="G974" s="99" t="n">
        <v>31.35</v>
      </c>
    </row>
    <row r="975">
      <c r="C975" s="100" t="n"/>
      <c r="D975" s="96" t="inlineStr">
        <is>
          <t>8061732.0:SNOP VILLEPINTE - 0.0x302.3x1.2</t>
        </is>
      </c>
      <c r="E975" s="96" t="n">
        <v>0.22</v>
      </c>
      <c r="F975" s="96" t="n">
        <v>42.84</v>
      </c>
      <c r="G975" s="97" t="n">
        <v>26.19</v>
      </c>
    </row>
    <row r="976">
      <c r="C976" s="100" t="n"/>
      <c r="D976" s="96" t="inlineStr">
        <is>
          <t>8029922.0:SAREL APPAREILLAGE ELECTRIQUE - 0.0x1139.0x1.15</t>
        </is>
      </c>
      <c r="E976" s="96" t="n">
        <v>0.02</v>
      </c>
      <c r="F976" s="96" t="n">
        <v>2</v>
      </c>
      <c r="G976" s="97" t="n">
        <v>12.45</v>
      </c>
    </row>
    <row r="977">
      <c r="C977" s="100" t="n"/>
      <c r="D977" s="96" t="inlineStr">
        <is>
          <t>8029925.0:SAREL APPAREILLAGE ELECTRIQUE - 0.0x640.0x1.0</t>
        </is>
      </c>
      <c r="E977" s="96" t="n">
        <v>0.01</v>
      </c>
      <c r="F977" s="96" t="n">
        <v>0.9</v>
      </c>
      <c r="G977" s="97" t="n">
        <v>19.52</v>
      </c>
    </row>
    <row r="978">
      <c r="C978" s="100" t="n"/>
      <c r="D978" s="96" t="inlineStr">
        <is>
          <t>8029911.0:SAREL APPAREILLAGE ELECTRIQUE - 0.0x821.5x1.5</t>
        </is>
      </c>
      <c r="E978" s="96" t="n">
        <v>0.01</v>
      </c>
      <c r="F978" s="96" t="n">
        <v>1.72</v>
      </c>
      <c r="G978" s="97" t="n">
        <v>18.03</v>
      </c>
    </row>
    <row r="979">
      <c r="C979" s="100" t="n"/>
      <c r="D979" s="96" t="inlineStr">
        <is>
          <t>8029912.0:SAREL APPAREILLAGE ELECTRIQUE - 0.0x1046.0x1.5</t>
        </is>
      </c>
      <c r="E979" s="96" t="n">
        <v>0.02</v>
      </c>
      <c r="F979" s="96" t="n">
        <v>2</v>
      </c>
      <c r="G979" s="97" t="n">
        <v>15.39</v>
      </c>
    </row>
    <row r="980">
      <c r="C980" s="100" t="n"/>
      <c r="D980" s="96" t="inlineStr">
        <is>
          <t>8029931.0:SAREL APPAREILLAGE ELECTRIQUE - 0.0x521.5x1.5</t>
        </is>
      </c>
      <c r="E980" s="96" t="n">
        <v>0.02</v>
      </c>
      <c r="F980" s="96" t="n">
        <v>1.2</v>
      </c>
      <c r="G980" s="97" t="n">
        <v>8.08</v>
      </c>
    </row>
    <row r="981">
      <c r="C981" s="100" t="n"/>
      <c r="D981" s="96" t="inlineStr">
        <is>
          <t>8029910.0:SAREL APPAREILLAGE ELECTRIQUE - 0.0x621.5x1.5</t>
        </is>
      </c>
      <c r="E981" s="96" t="n">
        <v>0.04</v>
      </c>
      <c r="F981" s="96" t="n">
        <v>1.92</v>
      </c>
      <c r="G981" s="97" t="n">
        <v>6.76</v>
      </c>
    </row>
    <row r="982">
      <c r="C982" s="100" t="n"/>
      <c r="D982" s="96" t="inlineStr">
        <is>
          <t>8029913.0:SAREL APPAREILLAGE ELECTRIQUE - 0.0x1246.0x1.5</t>
        </is>
      </c>
      <c r="E982" s="96" t="n">
        <v>0.01</v>
      </c>
      <c r="F982" s="96" t="n">
        <v>1.8</v>
      </c>
      <c r="G982" s="97" t="n">
        <v>36.19</v>
      </c>
    </row>
    <row r="983">
      <c r="C983" s="100" t="n"/>
      <c r="D983" s="96" t="inlineStr">
        <is>
          <t>8029909.0:SAREL APPAREILLAGE ELECTRIQUE - 0.0x421.5x1.5</t>
        </is>
      </c>
      <c r="E983" s="96" t="n">
        <v>0.02</v>
      </c>
      <c r="F983" s="96" t="n">
        <v>2</v>
      </c>
      <c r="G983" s="97" t="n">
        <v>16.65</v>
      </c>
    </row>
    <row r="984">
      <c r="C984" s="100" t="n"/>
      <c r="D984" s="96" t="inlineStr">
        <is>
          <t>8029920.0:SAREL APPAREILLAGE ELECTRIQUE - 0.0x589.0x1.8</t>
        </is>
      </c>
      <c r="E984" s="96" t="n">
        <v>0.02</v>
      </c>
      <c r="F984" s="96" t="n">
        <v>1.4</v>
      </c>
      <c r="G984" s="97" t="n">
        <v>12.41</v>
      </c>
    </row>
    <row r="985">
      <c r="C985" s="100" t="n"/>
      <c r="D985" s="96" t="inlineStr">
        <is>
          <t>8029921.0:SAREL APPAREILLAGE ELECTRIQUE - 0.0x840.0x1.0</t>
        </is>
      </c>
      <c r="E985" s="96" t="n">
        <v>0.02</v>
      </c>
      <c r="F985" s="96" t="n">
        <v>1.8</v>
      </c>
      <c r="G985" s="97" t="n">
        <v>10.54</v>
      </c>
    </row>
    <row r="986">
      <c r="C986" s="100" t="n"/>
      <c r="D986" s="96" t="inlineStr">
        <is>
          <t>8029907.0:SAREL APPAREILLAGE ELECTRIQUE - 0.0x1021.5x1.5</t>
        </is>
      </c>
      <c r="E986" s="96" t="n">
        <v>0.01</v>
      </c>
      <c r="F986" s="96" t="n">
        <v>0.88</v>
      </c>
      <c r="G986" s="97" t="n">
        <v>10.51</v>
      </c>
    </row>
    <row r="987">
      <c r="C987" s="100" t="n"/>
      <c r="D987" s="96" t="inlineStr">
        <is>
          <t>8029930.0:SAREL APPAREILLAGE ELECTRIQUE - 0.0x1040.0x1.0</t>
        </is>
      </c>
      <c r="E987" s="96" t="n">
        <v>0.01</v>
      </c>
      <c r="F987" s="96" t="n">
        <v>1</v>
      </c>
      <c r="G987" s="97" t="n">
        <v>8.93</v>
      </c>
    </row>
    <row r="988">
      <c r="C988" s="100" t="n"/>
      <c r="D988" s="96" t="inlineStr">
        <is>
          <t>8029916.0:SAREL APPAREILLAGE ELECTRIQUE - 0.0x789.0x1.8</t>
        </is>
      </c>
      <c r="E988" s="96" t="n">
        <v>0.03</v>
      </c>
      <c r="F988" s="96" t="n">
        <v>3.6</v>
      </c>
      <c r="G988" s="97" t="n">
        <v>15.75</v>
      </c>
    </row>
    <row r="989">
      <c r="C989" s="100" t="n"/>
      <c r="D989" s="96" t="inlineStr">
        <is>
          <t>8029919.0:SAREL APPAREILLAGE ELECTRIQUE - 0.0x389.0x1.8</t>
        </is>
      </c>
      <c r="E989" s="96" t="n">
        <v>0.01</v>
      </c>
      <c r="F989" s="96" t="n">
        <v>0.8</v>
      </c>
      <c r="G989" s="97" t="n">
        <v>10.33</v>
      </c>
    </row>
    <row r="990">
      <c r="C990" s="100" t="n"/>
      <c r="D990" s="96" t="inlineStr">
        <is>
          <t>8029917.0:SAREL APPAREILLAGE ELECTRIQUE - 0.0x989.0x1.8</t>
        </is>
      </c>
      <c r="E990" s="96" t="n">
        <v>0.02</v>
      </c>
      <c r="F990" s="96" t="n">
        <v>2</v>
      </c>
      <c r="G990" s="97" t="n">
        <v>13.77</v>
      </c>
    </row>
    <row r="991">
      <c r="C991" s="100" t="n"/>
      <c r="D991" s="96" t="inlineStr">
        <is>
          <t>8029893.0:SAREL APPAREILLAGE ELECTRIQUE - 0.0x940.0x1.0</t>
        </is>
      </c>
      <c r="E991" s="96" t="n">
        <v>0.04</v>
      </c>
      <c r="F991" s="96" t="n">
        <v>3.2</v>
      </c>
      <c r="G991" s="97" t="n">
        <v>10.72</v>
      </c>
    </row>
    <row r="992">
      <c r="C992" s="100" t="n"/>
      <c r="D992" s="96" t="inlineStr">
        <is>
          <t>8029895.0:SAREL APPAREILLAGE ELECTRIQUE - 0.0x846.0x1.5</t>
        </is>
      </c>
      <c r="E992" s="96" t="n">
        <v>0.01</v>
      </c>
      <c r="F992" s="96" t="n">
        <v>1</v>
      </c>
      <c r="G992" s="97" t="n">
        <v>11.89</v>
      </c>
    </row>
    <row r="993">
      <c r="C993" s="100" t="n"/>
      <c r="D993" s="96" t="inlineStr">
        <is>
          <t>8029928.0:SAREL APPAREILLAGE ELECTRIQUE - 0.0x447.0x1.0</t>
        </is>
      </c>
      <c r="E993" s="96" t="n">
        <v>0.01</v>
      </c>
      <c r="F993" s="96" t="n">
        <v>0.5</v>
      </c>
      <c r="G993" s="97" t="n">
        <v>11.38</v>
      </c>
    </row>
    <row r="994">
      <c r="C994" s="100" t="n"/>
      <c r="D994" s="96" t="inlineStr">
        <is>
          <t>8029923.0:SAREL APPAREILLAGE ELECTRIQUE - 0.0x1239.0x1.15</t>
        </is>
      </c>
      <c r="E994" s="96" t="n">
        <v>0.02</v>
      </c>
      <c r="F994" s="96" t="n">
        <v>1.8</v>
      </c>
      <c r="G994" s="97" t="n">
        <v>12.83</v>
      </c>
    </row>
    <row r="995">
      <c r="C995" s="100" t="n"/>
      <c r="D995" s="96" t="inlineStr">
        <is>
          <t>8029901.0:SAREL APPAREILLAGE ELECTRIQUE - 0.0x839.0x1.5</t>
        </is>
      </c>
      <c r="E995" s="96" t="n">
        <v>0.04</v>
      </c>
      <c r="F995" s="96" t="n">
        <v>1</v>
      </c>
      <c r="G995" s="97" t="n">
        <v>3.29</v>
      </c>
    </row>
    <row r="996">
      <c r="C996" s="100" t="n"/>
      <c r="D996" s="96" t="inlineStr">
        <is>
          <t>8029894.0:SAREL APPAREILLAGE ELECTRIQUE - 0.0x338.0x1.2</t>
        </is>
      </c>
      <c r="E996" s="96" t="n">
        <v>0</v>
      </c>
      <c r="F996" s="96" t="n">
        <v>0.36</v>
      </c>
      <c r="G996" s="97" t="n">
        <v>11.67</v>
      </c>
    </row>
    <row r="997">
      <c r="C997" s="100" t="n"/>
      <c r="D997" s="96" t="inlineStr">
        <is>
          <t>8029926.0:SAREL APPAREILLAGE ELECTRIQUE - 0.0x740.0x1.0</t>
        </is>
      </c>
      <c r="E997" s="96" t="n">
        <v>0</v>
      </c>
      <c r="F997" s="96" t="n">
        <v>0.8</v>
      </c>
      <c r="G997" s="97" t="n">
        <v>21.71</v>
      </c>
    </row>
    <row r="998">
      <c r="C998" s="100" t="n"/>
      <c r="D998" s="101" t="inlineStr">
        <is>
          <t>8029927.0:SAREL APPAREILLAGE ELECTRIQUE - 0.0x347.0x1.0</t>
        </is>
      </c>
      <c r="E998" s="101" t="n">
        <v>0</v>
      </c>
      <c r="F998" s="101" t="n">
        <v>0.32</v>
      </c>
      <c r="G998" s="102" t="n">
        <v>17.4</v>
      </c>
    </row>
    <row r="999">
      <c r="C999" s="100" t="n"/>
      <c r="D999" s="96" t="inlineStr">
        <is>
          <t>8106250.0:GESTAMP NOURY S.A. - 0.0x157.3x1.8</t>
        </is>
      </c>
      <c r="E999" s="96" t="n">
        <v>0.09</v>
      </c>
      <c r="F999" s="96" t="n">
        <v>14.783</v>
      </c>
      <c r="G999" s="97" t="n">
        <v>22.7</v>
      </c>
    </row>
    <row r="1000">
      <c r="C1000" s="103" t="n"/>
      <c r="D1000" s="104" t="inlineStr">
        <is>
          <t>8106440.0:MAGNA LORRAINE - 0.0x590.0x0.6</t>
        </is>
      </c>
      <c r="E1000" s="104" t="n">
        <v>0.01</v>
      </c>
      <c r="F1000" s="104" t="n">
        <v>1</v>
      </c>
      <c r="G1000" s="105" t="n">
        <v>14.02</v>
      </c>
    </row>
    <row r="1004">
      <c r="C1004" s="92" t="inlineStr">
        <is>
          <t>Details for : R1 proto - Postes Backlog</t>
        </is>
      </c>
      <c r="D1004" s="93" t="inlineStr">
        <is>
          <t>Article : Client - Length x Width x Thickness</t>
        </is>
      </c>
      <c r="E1004" s="93" t="inlineStr">
        <is>
          <t>Postes</t>
        </is>
      </c>
      <c r="F1004" s="93" t="inlineStr">
        <is>
          <t>Tonnes</t>
        </is>
      </c>
      <c r="G1004" s="94" t="inlineStr">
        <is>
          <t>Productivity</t>
        </is>
      </c>
    </row>
    <row r="1005">
      <c r="C1005" s="95" t="inlineStr">
        <is>
          <t>Sum Tonnes : 233.08</t>
        </is>
      </c>
      <c r="D1005" s="96" t="inlineStr">
        <is>
          <t>8111142.0:ARCELORMITTAL PROTO FLORANGE - 0.0x800.0x1.2</t>
        </is>
      </c>
      <c r="E1005" s="96" t="n">
        <v>0.05</v>
      </c>
      <c r="F1005" s="96" t="n">
        <v>10</v>
      </c>
      <c r="G1005" s="97" t="n">
        <v>29.16</v>
      </c>
    </row>
    <row r="1006">
      <c r="C1006" s="95" t="inlineStr">
        <is>
          <t>Sum Postes : 4.9</t>
        </is>
      </c>
      <c r="D1006" s="96" t="inlineStr">
        <is>
          <t>8114708.0:ARCELORMITTAL PROTO FLORANGE - 0.0x654.0x1.2</t>
        </is>
      </c>
      <c r="E1006" s="96" t="n">
        <v>0.08</v>
      </c>
      <c r="F1006" s="96" t="n">
        <v>10</v>
      </c>
      <c r="G1006" s="97" t="n">
        <v>17.61</v>
      </c>
    </row>
    <row r="1007">
      <c r="C1007" s="95" t="inlineStr">
        <is>
          <t>Average Productivity : 8.76</t>
        </is>
      </c>
      <c r="D1007" s="96" t="inlineStr">
        <is>
          <t>8111147.0:ARCELORMITTAL PROTO FLORANGE - 0.0x974.0x2.0</t>
        </is>
      </c>
      <c r="E1007" s="96" t="n">
        <v>0.54</v>
      </c>
      <c r="F1007" s="96" t="n">
        <v>20</v>
      </c>
      <c r="G1007" s="97" t="n">
        <v>4.92</v>
      </c>
    </row>
    <row r="1008">
      <c r="C1008" s="100" t="n"/>
      <c r="D1008" s="96" t="inlineStr">
        <is>
          <t>8110451.0:ARCELORMITTAL PROTO FLORANGE - 0.0x250.0x1.2</t>
        </is>
      </c>
      <c r="E1008" s="96" t="n">
        <v>0.82</v>
      </c>
      <c r="F1008" s="96" t="n">
        <v>30</v>
      </c>
      <c r="G1008" s="97" t="n">
        <v>4.87</v>
      </c>
    </row>
    <row r="1009">
      <c r="C1009" s="100" t="n"/>
      <c r="D1009" s="101" t="inlineStr">
        <is>
          <t>8110531.0:ARCELORMITTAL PROTO FLORANGE - 0.0x1273.0x0.73</t>
        </is>
      </c>
      <c r="E1009" s="101" t="n">
        <v>0.02</v>
      </c>
      <c r="F1009" s="101" t="n">
        <v>0.74</v>
      </c>
      <c r="G1009" s="102" t="n">
        <v>5.74</v>
      </c>
    </row>
    <row r="1010">
      <c r="C1010" s="100" t="n"/>
      <c r="D1010" s="98" t="inlineStr">
        <is>
          <t>8111516.0:ARCELORMITTAL PROTO FLORANGE - 0.0x1192.0x5.0</t>
        </is>
      </c>
      <c r="E1010" s="98" t="n">
        <v>1.19</v>
      </c>
      <c r="F1010" s="98" t="n">
        <v>73</v>
      </c>
      <c r="G1010" s="99" t="n">
        <v>8.16</v>
      </c>
    </row>
    <row r="1011">
      <c r="C1011" s="100" t="n"/>
      <c r="D1011" s="96" t="inlineStr">
        <is>
          <t>8112159.0:ARCELORMITTAL PROTO FLORANGE - 0.0x388.0x2.6</t>
        </is>
      </c>
      <c r="E1011" s="96" t="n">
        <v>0.3</v>
      </c>
      <c r="F1011" s="96" t="n">
        <v>20</v>
      </c>
      <c r="G1011" s="97" t="n">
        <v>8.890000000000001</v>
      </c>
    </row>
    <row r="1012">
      <c r="C1012" s="100" t="n"/>
      <c r="D1012" s="96" t="inlineStr">
        <is>
          <t>8112627.0:ARCELORMITTAL PROTO FLORANGE - 0.0x411.0x6.0</t>
        </is>
      </c>
      <c r="E1012" s="96" t="n">
        <v>0.27</v>
      </c>
      <c r="F1012" s="96" t="n">
        <v>10</v>
      </c>
      <c r="G1012" s="97" t="n">
        <v>4.87</v>
      </c>
    </row>
    <row r="1013">
      <c r="C1013" s="100" t="n"/>
      <c r="D1013" s="96" t="inlineStr">
        <is>
          <t>8111546.0:ARCELORMITTAL PROTO FLORANGE - 0.0x1170.0x0.75</t>
        </is>
      </c>
      <c r="E1013" s="96" t="n">
        <v>0.3</v>
      </c>
      <c r="F1013" s="96" t="n">
        <v>10.9</v>
      </c>
      <c r="G1013" s="97" t="n">
        <v>4.87</v>
      </c>
    </row>
    <row r="1014">
      <c r="C1014" s="100" t="n"/>
      <c r="D1014" s="96" t="inlineStr">
        <is>
          <t>8111549.0:ARCELORMITTAL PROTO FLORANGE - 0.0x1173.0x0.75</t>
        </is>
      </c>
      <c r="E1014" s="96" t="n">
        <v>0.57</v>
      </c>
      <c r="F1014" s="96" t="n">
        <v>20.9</v>
      </c>
      <c r="G1014" s="97" t="n">
        <v>4.87</v>
      </c>
    </row>
    <row r="1015">
      <c r="C1015" s="100" t="n"/>
      <c r="D1015" s="96" t="inlineStr">
        <is>
          <t>8113178.0:ARCELORMITTAL PROTO FLORANGE - 0.0x570.0x1.6</t>
        </is>
      </c>
      <c r="E1015" s="96" t="n">
        <v>0.28</v>
      </c>
      <c r="F1015" s="96" t="n">
        <v>10.2</v>
      </c>
      <c r="G1015" s="97" t="n">
        <v>4.87</v>
      </c>
    </row>
    <row r="1016">
      <c r="C1016" s="100" t="n"/>
      <c r="D1016" s="96" t="inlineStr">
        <is>
          <t>8113862.0:ARCELORMITTAL PROTO FLORANGE - 0.0x1350.0x1.5</t>
        </is>
      </c>
      <c r="E1016" s="96" t="n">
        <v>0.34</v>
      </c>
      <c r="F1016" s="96" t="n">
        <v>12.24</v>
      </c>
      <c r="G1016" s="97" t="n">
        <v>4.87</v>
      </c>
    </row>
    <row r="1017">
      <c r="C1017" s="103" t="n"/>
      <c r="D1017" s="104" t="inlineStr">
        <is>
          <t>8113863.0:ARCELORMITTAL PROTO FLORANGE - 0.0x1300.0x1.2</t>
        </is>
      </c>
      <c r="E1017" s="104" t="n">
        <v>0.14</v>
      </c>
      <c r="F1017" s="104" t="n">
        <v>5.1</v>
      </c>
      <c r="G1017" s="105" t="n">
        <v>4.87</v>
      </c>
    </row>
    <row r="1021">
      <c r="C1021" s="92" t="inlineStr">
        <is>
          <t>Details for : R1 proto - Postes Forecast W</t>
        </is>
      </c>
      <c r="D1021" s="93" t="inlineStr">
        <is>
          <t>Article : Client - Length x Width x Thickness</t>
        </is>
      </c>
      <c r="E1021" s="93" t="inlineStr">
        <is>
          <t>Postes</t>
        </is>
      </c>
      <c r="F1021" s="93" t="inlineStr">
        <is>
          <t>Tonnes</t>
        </is>
      </c>
      <c r="G1021" s="94" t="inlineStr">
        <is>
          <t>Productivity</t>
        </is>
      </c>
    </row>
    <row r="1022">
      <c r="C1022" s="95" t="inlineStr">
        <is>
          <t>Sum Tonnes : 4.5</t>
        </is>
      </c>
      <c r="D1022" s="98" t="inlineStr">
        <is>
          <t>8114501.0:ARCELORMITTAL PROTO FLORANGE - 0.0x306.6x1.8</t>
        </is>
      </c>
      <c r="E1022" s="98" t="n">
        <v>0.09</v>
      </c>
      <c r="F1022" s="98" t="n">
        <v>4.5</v>
      </c>
      <c r="G1022" s="99" t="n">
        <v>6.53</v>
      </c>
    </row>
    <row r="1023">
      <c r="C1023" s="95" t="inlineStr">
        <is>
          <t>Sum Postes : 0.09</t>
        </is>
      </c>
      <c r="D1023" s="96" t="n"/>
      <c r="E1023" s="96" t="n"/>
      <c r="F1023" s="96" t="n"/>
      <c r="G1023" s="97" t="n"/>
    </row>
    <row r="1024">
      <c r="C1024" s="106" t="inlineStr">
        <is>
          <t>Average Productivity : 8.76</t>
        </is>
      </c>
      <c r="D1024" s="104" t="n"/>
      <c r="E1024" s="104" t="n"/>
      <c r="F1024" s="104" t="n"/>
      <c r="G1024" s="105" t="n"/>
    </row>
    <row r="1028">
      <c r="C1028" s="92" t="inlineStr">
        <is>
          <t>Details for : R1 proto - Postes Forecast W1</t>
        </is>
      </c>
      <c r="D1028" s="93" t="inlineStr">
        <is>
          <t>Article : Client - Length x Width x Thickness</t>
        </is>
      </c>
      <c r="E1028" s="93" t="inlineStr">
        <is>
          <t>Postes</t>
        </is>
      </c>
      <c r="F1028" s="93" t="inlineStr">
        <is>
          <t>Tonnes</t>
        </is>
      </c>
      <c r="G1028" s="94" t="inlineStr">
        <is>
          <t>Productivity</t>
        </is>
      </c>
    </row>
    <row r="1029">
      <c r="C1029" s="95" t="inlineStr">
        <is>
          <t>Sum Tonnes : 10.0</t>
        </is>
      </c>
      <c r="D1029" s="98" t="inlineStr">
        <is>
          <t>8114315.0:ARCELORMITTAL PROTO FLORANGE - 0.0x1210.0x4.5</t>
        </is>
      </c>
      <c r="E1029" s="98" t="n">
        <v>0.12</v>
      </c>
      <c r="F1029" s="98" t="n">
        <v>5</v>
      </c>
      <c r="G1029" s="99" t="n">
        <v>5.54</v>
      </c>
    </row>
    <row r="1030">
      <c r="C1030" s="95" t="inlineStr">
        <is>
          <t>Sum Postes : 0.19</t>
        </is>
      </c>
      <c r="D1030" s="98" t="inlineStr">
        <is>
          <t>8114318.0:ARCELORMITTAL PROTO FLORANGE - 0.0x1280.0x5.0</t>
        </is>
      </c>
      <c r="E1030" s="98" t="n">
        <v>0.07000000000000001</v>
      </c>
      <c r="F1030" s="98" t="n">
        <v>5</v>
      </c>
      <c r="G1030" s="99" t="n">
        <v>9.800000000000001</v>
      </c>
    </row>
    <row r="1031">
      <c r="C1031" s="106" t="inlineStr">
        <is>
          <t>Average Productivity : 8.76</t>
        </is>
      </c>
      <c r="D1031" s="104" t="n"/>
      <c r="E1031" s="104" t="n"/>
      <c r="F1031" s="104" t="n"/>
      <c r="G1031" s="105" t="n"/>
    </row>
    <row r="1035">
      <c r="C1035" s="92" t="inlineStr">
        <is>
          <t>Details for : R1 proto - Postes Forecast W2</t>
        </is>
      </c>
      <c r="D1035" s="93" t="inlineStr">
        <is>
          <t>Article : Client - Length x Width x Thickness</t>
        </is>
      </c>
      <c r="E1035" s="93" t="inlineStr">
        <is>
          <t>Postes</t>
        </is>
      </c>
      <c r="F1035" s="93" t="inlineStr">
        <is>
          <t>Tonnes</t>
        </is>
      </c>
      <c r="G1035" s="94" t="inlineStr">
        <is>
          <t>Productivity</t>
        </is>
      </c>
    </row>
    <row r="1036">
      <c r="C1036" s="95" t="inlineStr">
        <is>
          <t>Sum Tonnes : 31.0</t>
        </is>
      </c>
      <c r="D1036" s="98" t="inlineStr">
        <is>
          <t>8112187.0:ARCELORMITTAL PROTO FLORANGE - 0.0x960.0x1.5</t>
        </is>
      </c>
      <c r="E1036" s="98" t="n">
        <v>0.05</v>
      </c>
      <c r="F1036" s="98" t="n">
        <v>7</v>
      </c>
      <c r="G1036" s="99" t="n">
        <v>17.46</v>
      </c>
    </row>
    <row r="1037">
      <c r="C1037" s="95" t="inlineStr">
        <is>
          <t>Sum Postes : 0.44</t>
        </is>
      </c>
      <c r="D1037" s="98" t="inlineStr">
        <is>
          <t>8113491.0:ARCELORMITTAL PROTO FLORANGE - 0.0x1378.0x1.7</t>
        </is>
      </c>
      <c r="E1037" s="98" t="n">
        <v>0.05</v>
      </c>
      <c r="F1037" s="98" t="n">
        <v>7</v>
      </c>
      <c r="G1037" s="99" t="n">
        <v>18.59</v>
      </c>
    </row>
    <row r="1038">
      <c r="C1038" s="95" t="inlineStr">
        <is>
          <t>Average Productivity : 8.76</t>
        </is>
      </c>
      <c r="D1038" s="96" t="inlineStr">
        <is>
          <t>8114504.0:ARCELORMITTAL PROTO FLORANGE - 0.0x367.7x1.8</t>
        </is>
      </c>
      <c r="E1038" s="96" t="n">
        <v>0.1</v>
      </c>
      <c r="F1038" s="96" t="n">
        <v>4.75</v>
      </c>
      <c r="G1038" s="97" t="n">
        <v>6.53</v>
      </c>
    </row>
    <row r="1039">
      <c r="C1039" s="100" t="n"/>
      <c r="D1039" s="96" t="inlineStr">
        <is>
          <t>8114597.0:ARCELORMITTAL PROTO FLORANGE - 0.0x213.0x1.8</t>
        </is>
      </c>
      <c r="E1039" s="96" t="n">
        <v>0.17</v>
      </c>
      <c r="F1039" s="96" t="n">
        <v>3</v>
      </c>
      <c r="G1039" s="97" t="n">
        <v>2.41</v>
      </c>
    </row>
    <row r="1040">
      <c r="C1040" s="100" t="n"/>
      <c r="D1040" s="96" t="inlineStr">
        <is>
          <t>8114760.0:ARCELORMITTAL PROTO FLORANGE - 0.0x213.0x1.6</t>
        </is>
      </c>
      <c r="E1040" s="96" t="n">
        <v>0.02</v>
      </c>
      <c r="F1040" s="96" t="n">
        <v>2.181</v>
      </c>
      <c r="G1040" s="97" t="n">
        <v>15.34</v>
      </c>
    </row>
    <row r="1041">
      <c r="C1041" s="100" t="n"/>
      <c r="D1041" s="96" t="inlineStr">
        <is>
          <t>8114761.0:ARCELORMITTAL PROTO FLORANGE - 0.0x244.5x1.6</t>
        </is>
      </c>
      <c r="E1041" s="96" t="n">
        <v>0.04</v>
      </c>
      <c r="F1041" s="96" t="n">
        <v>5</v>
      </c>
      <c r="G1041" s="97" t="n">
        <v>15.34</v>
      </c>
    </row>
    <row r="1042">
      <c r="C1042" s="103" t="n"/>
      <c r="D1042" s="109" t="inlineStr">
        <is>
          <t>8114762.0:ARCELORMITTAL PROTO FLORANGE - 0.0x244.5x1.5</t>
        </is>
      </c>
      <c r="E1042" s="109" t="n">
        <v>0.01</v>
      </c>
      <c r="F1042" s="109" t="n">
        <v>2.069</v>
      </c>
      <c r="G1042" s="110" t="n">
        <v>20.75</v>
      </c>
    </row>
    <row r="1046">
      <c r="C1046" s="92" t="inlineStr">
        <is>
          <t>Details for : R1 proto - Postes Forecast W3</t>
        </is>
      </c>
      <c r="D1046" s="93" t="inlineStr">
        <is>
          <t>Article : Client - Length x Width x Thickness</t>
        </is>
      </c>
      <c r="E1046" s="93" t="inlineStr">
        <is>
          <t>Postes</t>
        </is>
      </c>
      <c r="F1046" s="93" t="inlineStr">
        <is>
          <t>Tonnes</t>
        </is>
      </c>
      <c r="G1046" s="94" t="inlineStr">
        <is>
          <t>Productivity</t>
        </is>
      </c>
    </row>
    <row r="1047">
      <c r="C1047" s="95" t="inlineStr">
        <is>
          <t>Sum Tonnes : 6.0</t>
        </is>
      </c>
      <c r="D1047" s="98" t="inlineStr">
        <is>
          <t>8114824.0:ARCELORMITTAL PROTO FLORANGE - 0.0x1060.0x3.65</t>
        </is>
      </c>
      <c r="E1047" s="98" t="n">
        <v>0.16</v>
      </c>
      <c r="F1047" s="98" t="n">
        <v>6</v>
      </c>
      <c r="G1047" s="99" t="n">
        <v>4.87</v>
      </c>
    </row>
    <row r="1048">
      <c r="C1048" s="95" t="inlineStr">
        <is>
          <t>Sum Postes : 0.16</t>
        </is>
      </c>
      <c r="D1048" s="96" t="n"/>
      <c r="E1048" s="96" t="n"/>
      <c r="F1048" s="96" t="n"/>
      <c r="G1048" s="97" t="n"/>
    </row>
    <row r="1049">
      <c r="C1049" s="106" t="inlineStr">
        <is>
          <t>Average Productivity : 8.76</t>
        </is>
      </c>
      <c r="D1049" s="104" t="n"/>
      <c r="E1049" s="104" t="n"/>
      <c r="F1049" s="104" t="n"/>
      <c r="G1049" s="105" t="n"/>
    </row>
    <row r="1053">
      <c r="C1053" s="92" t="inlineStr">
        <is>
          <t>Details for : R1 proto - Postes Forecast W4</t>
        </is>
      </c>
      <c r="D1053" s="93" t="inlineStr">
        <is>
          <t>Article : Client - Length x Width x Thickness</t>
        </is>
      </c>
      <c r="E1053" s="93" t="inlineStr">
        <is>
          <t>Postes</t>
        </is>
      </c>
      <c r="F1053" s="93" t="inlineStr">
        <is>
          <t>Tonnes</t>
        </is>
      </c>
      <c r="G1053" s="94" t="inlineStr">
        <is>
          <t>Productivity</t>
        </is>
      </c>
    </row>
    <row r="1054">
      <c r="C1054" s="95" t="inlineStr">
        <is>
          <t>Sum Tonnes : 59.0</t>
        </is>
      </c>
      <c r="D1054" s="98" t="inlineStr">
        <is>
          <t>8114389.0:ARCELORMITTAL PROTO FLORANGE - 0.0x1215.0x3.6</t>
        </is>
      </c>
      <c r="E1054" s="98" t="n">
        <v>1.04</v>
      </c>
      <c r="F1054" s="98" t="n">
        <v>38</v>
      </c>
      <c r="G1054" s="99" t="n">
        <v>4.87</v>
      </c>
    </row>
    <row r="1055">
      <c r="C1055" s="95" t="inlineStr">
        <is>
          <t>Sum Postes : 1.61</t>
        </is>
      </c>
      <c r="D1055" s="101" t="inlineStr">
        <is>
          <t>8114400.0:ARCELORMITTAL PROTO FLORANGE - 0.0x411.0x6.0</t>
        </is>
      </c>
      <c r="E1055" s="101" t="n">
        <v>0.57</v>
      </c>
      <c r="F1055" s="101" t="n">
        <v>21</v>
      </c>
      <c r="G1055" s="102" t="n">
        <v>4.87</v>
      </c>
    </row>
    <row r="1056">
      <c r="C1056" s="106" t="inlineStr">
        <is>
          <t>Average Productivity : 8.76</t>
        </is>
      </c>
      <c r="D1056" s="104" t="n"/>
      <c r="E1056" s="104" t="n"/>
      <c r="F1056" s="104" t="n"/>
      <c r="G1056" s="105" t="n"/>
    </row>
    <row r="1060">
      <c r="C1060" s="92" t="inlineStr">
        <is>
          <t>Details for : R1 proto - Postes Forecast W5</t>
        </is>
      </c>
      <c r="D1060" s="93" t="inlineStr">
        <is>
          <t>Article : Client - Length x Width x Thickness</t>
        </is>
      </c>
      <c r="E1060" s="93" t="inlineStr">
        <is>
          <t>Postes</t>
        </is>
      </c>
      <c r="F1060" s="93" t="inlineStr">
        <is>
          <t>Tonnes</t>
        </is>
      </c>
      <c r="G1060" s="94" t="inlineStr">
        <is>
          <t>Productivity</t>
        </is>
      </c>
    </row>
    <row r="1061">
      <c r="C1061" s="95" t="inlineStr">
        <is>
          <t>Sum Tonnes : 6.4</t>
        </is>
      </c>
      <c r="D1061" s="98" t="inlineStr">
        <is>
          <t>8111865.0:PEUGEOT CITROEN AUTOMOBILES SA - 0.0x830.0x1.4</t>
        </is>
      </c>
      <c r="E1061" s="98" t="n">
        <v>0.11</v>
      </c>
      <c r="F1061" s="98" t="n">
        <v>3.2</v>
      </c>
      <c r="G1061" s="99" t="n">
        <v>3.88</v>
      </c>
    </row>
    <row r="1062">
      <c r="C1062" s="95" t="inlineStr">
        <is>
          <t>Sum Postes : 0.22</t>
        </is>
      </c>
      <c r="D1062" s="98" t="inlineStr">
        <is>
          <t>8111866.0:PEUGEOT CITROEN AUTOMOBILES SA - 0.0x838.0x1.4</t>
        </is>
      </c>
      <c r="E1062" s="98" t="n">
        <v>0.11</v>
      </c>
      <c r="F1062" s="98" t="n">
        <v>3.2</v>
      </c>
      <c r="G1062" s="99" t="n">
        <v>3.88</v>
      </c>
    </row>
    <row r="1063">
      <c r="C1063" s="106" t="inlineStr">
        <is>
          <t>Average Productivity : 8.76</t>
        </is>
      </c>
      <c r="D1063" s="104" t="n"/>
      <c r="E1063" s="104" t="n"/>
      <c r="F1063" s="104" t="n"/>
      <c r="G1063" s="105" t="n"/>
    </row>
    <row r="1067">
      <c r="C1067" s="92" t="inlineStr">
        <is>
          <t>Details for : R1 proto - Postes Forecast W8</t>
        </is>
      </c>
      <c r="D1067" s="93" t="inlineStr">
        <is>
          <t>Article : Client - Length x Width x Thickness</t>
        </is>
      </c>
      <c r="E1067" s="93" t="inlineStr">
        <is>
          <t>Postes</t>
        </is>
      </c>
      <c r="F1067" s="93" t="inlineStr">
        <is>
          <t>Tonnes</t>
        </is>
      </c>
      <c r="G1067" s="94" t="inlineStr">
        <is>
          <t>Productivity</t>
        </is>
      </c>
    </row>
    <row r="1068">
      <c r="C1068" s="95" t="inlineStr">
        <is>
          <t>Sum Tonnes : 10.0</t>
        </is>
      </c>
      <c r="D1068" s="98" t="inlineStr">
        <is>
          <t>8113596.0:ARCELORMITTAL PROTO FLORANGE - 0.0x1250.0x1.6</t>
        </is>
      </c>
      <c r="E1068" s="98" t="n">
        <v>0.27</v>
      </c>
      <c r="F1068" s="98" t="n">
        <v>10</v>
      </c>
      <c r="G1068" s="99" t="n">
        <v>4.87</v>
      </c>
    </row>
    <row r="1069">
      <c r="C1069" s="95" t="inlineStr">
        <is>
          <t>Sum Postes : 0.27</t>
        </is>
      </c>
      <c r="D1069" s="96" t="n"/>
      <c r="E1069" s="96" t="n"/>
      <c r="F1069" s="96" t="n"/>
      <c r="G1069" s="97" t="n"/>
    </row>
    <row r="1070">
      <c r="C1070" s="106" t="inlineStr">
        <is>
          <t>Average Productivity : 8.76</t>
        </is>
      </c>
      <c r="D1070" s="104" t="n"/>
      <c r="E1070" s="104" t="n"/>
      <c r="F1070" s="104" t="n"/>
      <c r="G1070" s="105" t="n"/>
    </row>
    <row r="1074">
      <c r="C1074" s="92" t="inlineStr">
        <is>
          <t>Details for : R6 serie - Postes Backlog</t>
        </is>
      </c>
      <c r="D1074" s="93" t="inlineStr">
        <is>
          <t>Article : Client - Length x Width x Thickness</t>
        </is>
      </c>
      <c r="E1074" s="93" t="inlineStr">
        <is>
          <t>Postes</t>
        </is>
      </c>
      <c r="F1074" s="93" t="inlineStr">
        <is>
          <t>Tonnes</t>
        </is>
      </c>
      <c r="G1074" s="94" t="inlineStr">
        <is>
          <t>Productivity</t>
        </is>
      </c>
    </row>
    <row r="1075">
      <c r="C1075" s="95" t="inlineStr">
        <is>
          <t>Sum Tonnes : 718.32</t>
        </is>
      </c>
      <c r="D1075" s="96" t="inlineStr">
        <is>
          <t>8055271.0:ArcelorMittal FRANCE - 0.0x1222.0x1.6</t>
        </is>
      </c>
      <c r="E1075" s="96" t="n">
        <v>0.06</v>
      </c>
      <c r="F1075" s="96" t="n">
        <v>14.658</v>
      </c>
      <c r="G1075" s="97" t="n">
        <v>33.69</v>
      </c>
    </row>
    <row r="1076">
      <c r="C1076" s="95" t="inlineStr">
        <is>
          <t>Sum Postes : 4.55</t>
        </is>
      </c>
      <c r="D1076" s="96" t="inlineStr">
        <is>
          <t>8013523.0:ArcelorMittal FRANCE - 0.0x738.0x0.65</t>
        </is>
      </c>
      <c r="E1076" s="96" t="n">
        <v>0.03</v>
      </c>
      <c r="F1076" s="96" t="n">
        <v>3.44</v>
      </c>
      <c r="G1076" s="97" t="n">
        <v>16.46</v>
      </c>
    </row>
    <row r="1077">
      <c r="C1077" s="95" t="inlineStr">
        <is>
          <t>Average Productivity : 24.89</t>
        </is>
      </c>
      <c r="D1077" s="96" t="inlineStr">
        <is>
          <t>8057398.0:PROFILES HB SNC - 0.0x75.0x1.5</t>
        </is>
      </c>
      <c r="E1077" s="96" t="n">
        <v>0.01</v>
      </c>
      <c r="F1077" s="96" t="n">
        <v>0.66</v>
      </c>
      <c r="G1077" s="97" t="n">
        <v>9.289999999999999</v>
      </c>
    </row>
    <row r="1078">
      <c r="C1078" s="100" t="n"/>
      <c r="D1078" s="96" t="inlineStr">
        <is>
          <t>8046452.0:ArcelorMittal FRANCE - 0.0x845.0x1.0</t>
        </is>
      </c>
      <c r="E1078" s="96" t="n">
        <v>0.03</v>
      </c>
      <c r="F1078" s="96" t="n">
        <v>7.134</v>
      </c>
      <c r="G1078" s="97" t="n">
        <v>30.02</v>
      </c>
    </row>
    <row r="1079">
      <c r="C1079" s="100" t="n"/>
      <c r="D1079" s="96" t="inlineStr">
        <is>
          <t>8018958.0:ArcelorMittal FRANCE - 0.0x822.0x1.4</t>
        </is>
      </c>
      <c r="E1079" s="96" t="n">
        <v>0.06</v>
      </c>
      <c r="F1079" s="96" t="n">
        <v>17.569</v>
      </c>
      <c r="G1079" s="97" t="n">
        <v>41.26</v>
      </c>
    </row>
    <row r="1080">
      <c r="C1080" s="100" t="n"/>
      <c r="D1080" s="96" t="inlineStr">
        <is>
          <t>8059462.0:ArcelorMittal FRANCE - 0.0x828.0x1.0</t>
        </is>
      </c>
      <c r="E1080" s="96" t="n">
        <v>0.04</v>
      </c>
      <c r="F1080" s="96" t="n">
        <v>10.98</v>
      </c>
      <c r="G1080" s="97" t="n">
        <v>33.22</v>
      </c>
    </row>
    <row r="1081">
      <c r="C1081" s="100" t="n"/>
      <c r="D1081" s="96" t="inlineStr">
        <is>
          <t>8046452.0:ArcelorMittal FRANCE - 0.0x845.0x1.0</t>
        </is>
      </c>
      <c r="E1081" s="96" t="n">
        <v>0.05</v>
      </c>
      <c r="F1081" s="96" t="n">
        <v>10.216</v>
      </c>
      <c r="G1081" s="97" t="n">
        <v>30.02</v>
      </c>
    </row>
    <row r="1082">
      <c r="C1082" s="100" t="n"/>
      <c r="D1082" s="96" t="inlineStr">
        <is>
          <t>8057714.0:ArcelorMittal FRANCE - 0.0x860.0x1.2</t>
        </is>
      </c>
      <c r="E1082" s="96" t="n">
        <v>0.07000000000000001</v>
      </c>
      <c r="F1082" s="96" t="n">
        <v>18.44</v>
      </c>
      <c r="G1082" s="97" t="n">
        <v>37.5</v>
      </c>
    </row>
    <row r="1083">
      <c r="C1083" s="100" t="n"/>
      <c r="D1083" s="96" t="inlineStr">
        <is>
          <t>8057714.0:ArcelorMittal FRANCE - 0.0x860.0x1.2</t>
        </is>
      </c>
      <c r="E1083" s="96" t="n">
        <v>0.02</v>
      </c>
      <c r="F1083" s="96" t="n">
        <v>4.6</v>
      </c>
      <c r="G1083" s="97" t="n">
        <v>37.5</v>
      </c>
    </row>
    <row r="1084">
      <c r="C1084" s="100" t="n"/>
      <c r="D1084" s="96" t="inlineStr">
        <is>
          <t>8068995.0:ArcelorMittal FRANCE - 0.0x725.0x1.28</t>
        </is>
      </c>
      <c r="E1084" s="96" t="n">
        <v>0.01</v>
      </c>
      <c r="F1084" s="96" t="n">
        <v>3.597</v>
      </c>
      <c r="G1084" s="97" t="n">
        <v>32.24</v>
      </c>
    </row>
    <row r="1085">
      <c r="C1085" s="100" t="n"/>
      <c r="D1085" s="96" t="inlineStr">
        <is>
          <t>8059462.0:ArcelorMittal FRANCE - 0.0x828.0x1.0</t>
        </is>
      </c>
      <c r="E1085" s="96" t="n">
        <v>0.03</v>
      </c>
      <c r="F1085" s="96" t="n">
        <v>7.311</v>
      </c>
      <c r="G1085" s="97" t="n">
        <v>33.22</v>
      </c>
    </row>
    <row r="1086">
      <c r="C1086" s="100" t="n"/>
      <c r="D1086" s="96" t="inlineStr">
        <is>
          <t>8059555.0:ArcelorMittal FRANCE - 0.0x760.0x1.0</t>
        </is>
      </c>
      <c r="E1086" s="96" t="n">
        <v>0.06</v>
      </c>
      <c r="F1086" s="96" t="n">
        <v>12.928</v>
      </c>
      <c r="G1086" s="97" t="n">
        <v>28.84</v>
      </c>
    </row>
    <row r="1087">
      <c r="C1087" s="100" t="n"/>
      <c r="D1087" s="96" t="inlineStr">
        <is>
          <t>8068995.0:ArcelorMittal FRANCE - 0.0x725.0x1.28</t>
        </is>
      </c>
      <c r="E1087" s="96" t="n">
        <v>0.01</v>
      </c>
      <c r="F1087" s="96" t="n">
        <v>3.26</v>
      </c>
      <c r="G1087" s="97" t="n">
        <v>32.24</v>
      </c>
    </row>
    <row r="1088">
      <c r="C1088" s="100" t="n"/>
      <c r="D1088" s="96" t="inlineStr">
        <is>
          <t>8070533.0:ArcelorMittal FRANCE - 0.0x905.0x1.3</t>
        </is>
      </c>
      <c r="E1088" s="96" t="n">
        <v>0.02</v>
      </c>
      <c r="F1088" s="96" t="n">
        <v>3.94</v>
      </c>
      <c r="G1088" s="97" t="n">
        <v>30.82</v>
      </c>
    </row>
    <row r="1089">
      <c r="C1089" s="100" t="n"/>
      <c r="D1089" s="96" t="inlineStr">
        <is>
          <t>8067952.0:ArcelorMittal FRANCE - 0.0x708.0x1.1</t>
        </is>
      </c>
      <c r="E1089" s="96" t="n">
        <v>0.08</v>
      </c>
      <c r="F1089" s="96" t="n">
        <v>13.652</v>
      </c>
      <c r="G1089" s="97" t="n">
        <v>24.24</v>
      </c>
    </row>
    <row r="1090">
      <c r="C1090" s="100" t="n"/>
      <c r="D1090" s="96" t="inlineStr">
        <is>
          <t>8022776.0:ArcelorMittal FRANCE - 0.0x835.0x1.3</t>
        </is>
      </c>
      <c r="E1090" s="96" t="n">
        <v>0.05</v>
      </c>
      <c r="F1090" s="96" t="n">
        <v>10.855</v>
      </c>
      <c r="G1090" s="97" t="n">
        <v>28.7</v>
      </c>
    </row>
    <row r="1091">
      <c r="C1091" s="100" t="n"/>
      <c r="D1091" s="96" t="inlineStr">
        <is>
          <t>8015450.0:ArcelorMittal FRANCE - 0.0x875.0x1.17</t>
        </is>
      </c>
      <c r="E1091" s="96" t="n">
        <v>0</v>
      </c>
      <c r="F1091" s="96" t="n">
        <v>0.235</v>
      </c>
      <c r="G1091" s="97" t="n">
        <v>41.78</v>
      </c>
    </row>
    <row r="1092">
      <c r="C1092" s="100" t="n"/>
      <c r="D1092" s="96" t="inlineStr">
        <is>
          <t>8069304.0:ArcelorMittal FRANCE - 0.0x880.0x1.4</t>
        </is>
      </c>
      <c r="E1092" s="96" t="n">
        <v>0</v>
      </c>
      <c r="F1092" s="96" t="n">
        <v>0.04</v>
      </c>
      <c r="G1092" s="97" t="n">
        <v>30.29</v>
      </c>
    </row>
    <row r="1093">
      <c r="C1093" s="100" t="n"/>
      <c r="D1093" s="96" t="inlineStr">
        <is>
          <t>8085067.0:ArcelorMittal FRANCE - 0.0x661.0x1.75</t>
        </is>
      </c>
      <c r="E1093" s="96" t="n">
        <v>0.11</v>
      </c>
      <c r="F1093" s="96" t="n">
        <v>19</v>
      </c>
      <c r="G1093" s="97" t="n">
        <v>24.05</v>
      </c>
    </row>
    <row r="1094">
      <c r="C1094" s="100" t="n"/>
      <c r="D1094" s="96" t="inlineStr">
        <is>
          <t>8068995.0:ArcelorMittal FRANCE - 0.0x725.0x1.28</t>
        </is>
      </c>
      <c r="E1094" s="96" t="n">
        <v>0.08</v>
      </c>
      <c r="F1094" s="96" t="n">
        <v>19.817</v>
      </c>
      <c r="G1094" s="97" t="n">
        <v>32.24</v>
      </c>
    </row>
    <row r="1095">
      <c r="C1095" s="100" t="n"/>
      <c r="D1095" s="96" t="inlineStr">
        <is>
          <t>8085067.0:ArcelorMittal FRANCE - 0.0x661.0x1.75</t>
        </is>
      </c>
      <c r="E1095" s="96" t="n">
        <v>0.03</v>
      </c>
      <c r="F1095" s="96" t="n">
        <v>5.28</v>
      </c>
      <c r="G1095" s="97" t="n">
        <v>24.05</v>
      </c>
    </row>
    <row r="1096">
      <c r="C1096" s="100" t="n"/>
      <c r="D1096" s="96" t="inlineStr">
        <is>
          <t>8085481.0:ArcelorMittal FRANCE - 0.0x790.0x1.2</t>
        </is>
      </c>
      <c r="E1096" s="96" t="n">
        <v>0.08</v>
      </c>
      <c r="F1096" s="96" t="n">
        <v>19.034</v>
      </c>
      <c r="G1096" s="97" t="n">
        <v>33.69</v>
      </c>
    </row>
    <row r="1097">
      <c r="C1097" s="100" t="n"/>
      <c r="D1097" s="96" t="inlineStr">
        <is>
          <t>8048714.0:ArcelorMittal FRANCE - 0.0x730.0x1.25</t>
        </is>
      </c>
      <c r="E1097" s="96" t="n">
        <v>0</v>
      </c>
      <c r="F1097" s="96" t="n">
        <v>0.031</v>
      </c>
      <c r="G1097" s="97" t="n">
        <v>31.72</v>
      </c>
    </row>
    <row r="1098">
      <c r="C1098" s="100" t="n"/>
      <c r="D1098" s="96" t="inlineStr">
        <is>
          <t>8087752.0:ArcelorMittal FRANCE - 0.0x634.0x1.15</t>
        </is>
      </c>
      <c r="E1098" s="96" t="n">
        <v>0.1</v>
      </c>
      <c r="F1098" s="96" t="n">
        <v>5.465</v>
      </c>
      <c r="G1098" s="97" t="n">
        <v>7.03</v>
      </c>
    </row>
    <row r="1099">
      <c r="C1099" s="100" t="n"/>
      <c r="D1099" s="96" t="inlineStr">
        <is>
          <t>8087745.0:ArcelorMittal FRANCE - 0.0x1633.0x0.66</t>
        </is>
      </c>
      <c r="E1099" s="96" t="n">
        <v>0.05</v>
      </c>
      <c r="F1099" s="96" t="n">
        <v>13.5</v>
      </c>
      <c r="G1099" s="97" t="n">
        <v>33.69</v>
      </c>
    </row>
    <row r="1100">
      <c r="C1100" s="100" t="n"/>
      <c r="D1100" s="96" t="inlineStr">
        <is>
          <t>8088443.0:ArcelorMittal FRANCE - 0.0x880.0x1.4</t>
        </is>
      </c>
      <c r="E1100" s="96" t="n">
        <v>0.11</v>
      </c>
      <c r="F1100" s="96" t="n">
        <v>13.456</v>
      </c>
      <c r="G1100" s="97" t="n">
        <v>16.44</v>
      </c>
    </row>
    <row r="1101">
      <c r="C1101" s="100" t="n"/>
      <c r="D1101" s="96" t="inlineStr">
        <is>
          <t>8088589.0:ArcelorMittal FRANCE - 0.0x810.0x0.95</t>
        </is>
      </c>
      <c r="E1101" s="96" t="n">
        <v>0.09</v>
      </c>
      <c r="F1101" s="96" t="n">
        <v>10.66</v>
      </c>
      <c r="G1101" s="97" t="n">
        <v>15.51</v>
      </c>
    </row>
    <row r="1102">
      <c r="C1102" s="100" t="n"/>
      <c r="D1102" s="96" t="inlineStr">
        <is>
          <t>8088588.0:ArcelorMittal FRANCE - 0.0x810.0x0.95</t>
        </is>
      </c>
      <c r="E1102" s="96" t="n">
        <v>0.11</v>
      </c>
      <c r="F1102" s="96" t="n">
        <v>11.735</v>
      </c>
      <c r="G1102" s="97" t="n">
        <v>14.15</v>
      </c>
    </row>
    <row r="1103">
      <c r="C1103" s="100" t="n"/>
      <c r="D1103" s="96" t="inlineStr">
        <is>
          <t>8087749.0:ArcelorMittal FRANCE - 0.0x883.0x1.5</t>
        </is>
      </c>
      <c r="E1103" s="96" t="n">
        <v>0.15</v>
      </c>
      <c r="F1103" s="96" t="n">
        <v>19.928</v>
      </c>
      <c r="G1103" s="97" t="n">
        <v>17.23</v>
      </c>
    </row>
    <row r="1104">
      <c r="C1104" s="100" t="n"/>
      <c r="D1104" s="96" t="inlineStr">
        <is>
          <t>8089477.0:ArcelorMittal FRANCE - 0.0x834.0x1.0</t>
        </is>
      </c>
      <c r="E1104" s="96" t="n">
        <v>0.07000000000000001</v>
      </c>
      <c r="F1104" s="96" t="n">
        <v>16.302</v>
      </c>
      <c r="G1104" s="97" t="n">
        <v>30.92</v>
      </c>
    </row>
    <row r="1105">
      <c r="C1105" s="100" t="n"/>
      <c r="D1105" s="101" t="inlineStr">
        <is>
          <t>8089687.0:ArcelorMittal FRANCE - 0.0x875.0x1.17</t>
        </is>
      </c>
      <c r="E1105" s="101" t="n">
        <v>0</v>
      </c>
      <c r="F1105" s="101" t="n">
        <v>0.02</v>
      </c>
      <c r="G1105" s="102" t="n">
        <v>44.15</v>
      </c>
    </row>
    <row r="1106">
      <c r="C1106" s="100" t="n"/>
      <c r="D1106" s="96" t="inlineStr">
        <is>
          <t>8088953.0:ArcelorMittal FRANCE - 0.0x693.0x0.95</t>
        </is>
      </c>
      <c r="E1106" s="96" t="n">
        <v>0.07000000000000001</v>
      </c>
      <c r="F1106" s="96" t="n">
        <v>16.76</v>
      </c>
      <c r="G1106" s="97" t="n">
        <v>33.69</v>
      </c>
    </row>
    <row r="1107">
      <c r="C1107" s="100" t="n"/>
      <c r="D1107" s="96" t="inlineStr">
        <is>
          <t>8089687.0:ArcelorMittal FRANCE - 0.0x875.0x1.17</t>
        </is>
      </c>
      <c r="E1107" s="96" t="n">
        <v>0.04</v>
      </c>
      <c r="F1107" s="96" t="n">
        <v>12.92</v>
      </c>
      <c r="G1107" s="97" t="n">
        <v>44.15</v>
      </c>
    </row>
    <row r="1108">
      <c r="C1108" s="100" t="n"/>
      <c r="D1108" s="96" t="inlineStr">
        <is>
          <t>8088439.0:ArcelorMittal FRANCE - 0.0x738.0x0.65</t>
        </is>
      </c>
      <c r="E1108" s="96" t="n">
        <v>0</v>
      </c>
      <c r="F1108" s="96" t="n">
        <v>0.037</v>
      </c>
      <c r="G1108" s="97" t="n">
        <v>17.32</v>
      </c>
    </row>
    <row r="1109">
      <c r="C1109" s="100" t="n"/>
      <c r="D1109" s="96" t="inlineStr">
        <is>
          <t>8089918.0:ArcelorMittal FRANCE - 0.0x880.0x0.5</t>
        </is>
      </c>
      <c r="E1109" s="96" t="n">
        <v>0.06</v>
      </c>
      <c r="F1109" s="96" t="n">
        <v>14.475</v>
      </c>
      <c r="G1109" s="97" t="n">
        <v>33.69</v>
      </c>
    </row>
    <row r="1110">
      <c r="C1110" s="100" t="n"/>
      <c r="D1110" s="96" t="inlineStr">
        <is>
          <t>8090113.0:ArcelorMittal FRANCE - 0.0x845.0x0.8</t>
        </is>
      </c>
      <c r="E1110" s="96" t="n">
        <v>0.07000000000000001</v>
      </c>
      <c r="F1110" s="96" t="n">
        <v>9.41</v>
      </c>
      <c r="G1110" s="97" t="n">
        <v>18.2</v>
      </c>
    </row>
    <row r="1111">
      <c r="C1111" s="100" t="n"/>
      <c r="D1111" s="96" t="inlineStr">
        <is>
          <t>8089812.0:ArcelorMittal FRANCE - 0.0x691.0x0.95</t>
        </is>
      </c>
      <c r="E1111" s="96" t="n">
        <v>0.08</v>
      </c>
      <c r="F1111" s="96" t="n">
        <v>19.74</v>
      </c>
      <c r="G1111" s="97" t="n">
        <v>33.69</v>
      </c>
    </row>
    <row r="1112">
      <c r="C1112" s="100" t="n"/>
      <c r="D1112" s="96" t="inlineStr">
        <is>
          <t>8090942.0:ArcelorMittal FRANCE - 0.0x862.0x1.6</t>
        </is>
      </c>
      <c r="E1112" s="96" t="n">
        <v>0.05</v>
      </c>
      <c r="F1112" s="96" t="n">
        <v>17.186</v>
      </c>
      <c r="G1112" s="97" t="n">
        <v>45.41</v>
      </c>
    </row>
    <row r="1113">
      <c r="C1113" s="100" t="n"/>
      <c r="D1113" s="96" t="inlineStr">
        <is>
          <t>8087318.0:ArcelorMittal FRANCE - 0.0x794.0x1.2</t>
        </is>
      </c>
      <c r="E1113" s="96" t="n">
        <v>0.08</v>
      </c>
      <c r="F1113" s="96" t="n">
        <v>11.63</v>
      </c>
      <c r="G1113" s="97" t="n">
        <v>20.38</v>
      </c>
    </row>
    <row r="1114">
      <c r="C1114" s="100" t="n"/>
      <c r="D1114" s="96" t="inlineStr">
        <is>
          <t>8089692.0:ArcelorMittal FRANCE - 0.0x782.0x2.0</t>
        </is>
      </c>
      <c r="E1114" s="96" t="n">
        <v>0.06</v>
      </c>
      <c r="F1114" s="96" t="n">
        <v>10.701</v>
      </c>
      <c r="G1114" s="97" t="n">
        <v>24.93</v>
      </c>
    </row>
    <row r="1115">
      <c r="C1115" s="100" t="n"/>
      <c r="D1115" s="96" t="inlineStr">
        <is>
          <t>8090282.0:ArcelorMittal FRANCE - 0.0x730.0x1.25</t>
        </is>
      </c>
      <c r="E1115" s="96" t="n">
        <v>0.05</v>
      </c>
      <c r="F1115" s="96" t="n">
        <v>12.34</v>
      </c>
      <c r="G1115" s="97" t="n">
        <v>36.48</v>
      </c>
    </row>
    <row r="1116">
      <c r="C1116" s="100" t="n"/>
      <c r="D1116" s="96" t="inlineStr">
        <is>
          <t>8105883.0:ArcelorMittal FRANCE - 0.0x879.0x1.0</t>
        </is>
      </c>
      <c r="E1116" s="96" t="n">
        <v>0.57</v>
      </c>
      <c r="F1116" s="96" t="n">
        <v>16.43</v>
      </c>
      <c r="G1116" s="97" t="n">
        <v>3.84</v>
      </c>
    </row>
    <row r="1117">
      <c r="C1117" s="100" t="n"/>
      <c r="D1117" s="96" t="inlineStr">
        <is>
          <t>8107017.0:ArcelorMittal FRANCE - 0.0x900.0x1.0</t>
        </is>
      </c>
      <c r="E1117" s="96" t="n">
        <v>0.17</v>
      </c>
      <c r="F1117" s="96" t="n">
        <v>13.88</v>
      </c>
      <c r="G1117" s="97" t="n">
        <v>11.16</v>
      </c>
    </row>
    <row r="1118">
      <c r="C1118" s="100" t="n"/>
      <c r="D1118" s="96" t="inlineStr">
        <is>
          <t>8013657.0:Häseler Metall technik GmbH - 0.0x280.0x0.7</t>
        </is>
      </c>
      <c r="E1118" s="96" t="n">
        <v>0.02</v>
      </c>
      <c r="F1118" s="96" t="n">
        <v>1.8</v>
      </c>
      <c r="G1118" s="97" t="n">
        <v>12.05</v>
      </c>
    </row>
    <row r="1119">
      <c r="C1119" s="100" t="n"/>
      <c r="D1119" s="96" t="inlineStr">
        <is>
          <t>8105389.0:ArcelorMittal FRANCE - 0.0x883.0x1.5</t>
        </is>
      </c>
      <c r="E1119" s="96" t="n">
        <v>0.1</v>
      </c>
      <c r="F1119" s="96" t="n">
        <v>18.48</v>
      </c>
      <c r="G1119" s="97" t="n">
        <v>25.91</v>
      </c>
    </row>
    <row r="1120">
      <c r="C1120" s="100" t="n"/>
      <c r="D1120" s="96" t="inlineStr">
        <is>
          <t>8108810.0:ArcelorMittal FRANCE - 0.0x921.0x1.2</t>
        </is>
      </c>
      <c r="E1120" s="96" t="n">
        <v>0.21</v>
      </c>
      <c r="F1120" s="96" t="n">
        <v>15.181</v>
      </c>
      <c r="G1120" s="97" t="n">
        <v>9.619999999999999</v>
      </c>
    </row>
    <row r="1121">
      <c r="C1121" s="100" t="n"/>
      <c r="D1121" s="96" t="inlineStr">
        <is>
          <t>8029019.0:PLACOPLATRE SA - 0.0x92.0x0.59</t>
        </is>
      </c>
      <c r="E1121" s="96" t="n">
        <v>0.04</v>
      </c>
      <c r="F1121" s="96" t="n">
        <v>5.118</v>
      </c>
      <c r="G1121" s="97" t="n">
        <v>18.01</v>
      </c>
    </row>
    <row r="1122">
      <c r="C1122" s="100" t="n"/>
      <c r="D1122" s="96" t="inlineStr">
        <is>
          <t>8089688.0:ArcelorMittal FRANCE - 0.0x708.0x1.1</t>
        </is>
      </c>
      <c r="E1122" s="96" t="n">
        <v>0.07000000000000001</v>
      </c>
      <c r="F1122" s="96" t="n">
        <v>13.37</v>
      </c>
      <c r="G1122" s="97" t="n">
        <v>26.85</v>
      </c>
    </row>
    <row r="1123">
      <c r="C1123" s="100" t="n"/>
      <c r="D1123" s="96" t="inlineStr">
        <is>
          <t>8089687.0:ArcelorMittal FRANCE - 0.0x875.0x1.17</t>
        </is>
      </c>
      <c r="E1123" s="96" t="n">
        <v>0.04</v>
      </c>
      <c r="F1123" s="96" t="n">
        <v>14.3</v>
      </c>
      <c r="G1123" s="97" t="n">
        <v>44.15</v>
      </c>
    </row>
    <row r="1124">
      <c r="C1124" s="100" t="n"/>
      <c r="D1124" s="96" t="inlineStr">
        <is>
          <t>8089558.0:ArcelorMittal FRANCE - 0.0x880.0x1.4</t>
        </is>
      </c>
      <c r="E1124" s="96" t="n">
        <v>0.06</v>
      </c>
      <c r="F1124" s="96" t="n">
        <v>14.565</v>
      </c>
      <c r="G1124" s="97" t="n">
        <v>31.21</v>
      </c>
    </row>
    <row r="1125">
      <c r="C1125" s="100" t="n"/>
      <c r="D1125" s="96" t="inlineStr">
        <is>
          <t>8089558.0:ArcelorMittal FRANCE - 0.0x880.0x1.4</t>
        </is>
      </c>
      <c r="E1125" s="96" t="n">
        <v>0.06</v>
      </c>
      <c r="F1125" s="96" t="n">
        <v>14.332</v>
      </c>
      <c r="G1125" s="97" t="n">
        <v>31.21</v>
      </c>
    </row>
    <row r="1126">
      <c r="C1126" s="100" t="n"/>
      <c r="D1126" s="96" t="inlineStr">
        <is>
          <t>8113227.0:ArcelorMittal FRANCE - 0.0x816.0x1.5</t>
        </is>
      </c>
      <c r="E1126" s="96" t="n">
        <v>0.06</v>
      </c>
      <c r="F1126" s="96" t="n">
        <v>15.04</v>
      </c>
      <c r="G1126" s="97" t="n">
        <v>33.69</v>
      </c>
    </row>
    <row r="1127">
      <c r="C1127" s="100" t="n"/>
      <c r="D1127" s="96" t="inlineStr">
        <is>
          <t>8113227.0:ArcelorMittal FRANCE - 0.0x816.0x1.5</t>
        </is>
      </c>
      <c r="E1127" s="96" t="n">
        <v>0.07000000000000001</v>
      </c>
      <c r="F1127" s="96" t="n">
        <v>18.605</v>
      </c>
      <c r="G1127" s="97" t="n">
        <v>33.69</v>
      </c>
    </row>
    <row r="1128">
      <c r="C1128" s="100" t="n"/>
      <c r="D1128" s="96" t="inlineStr">
        <is>
          <t>8113496.0:ArcelorMittal FRANCE - 0.0x730.0x1.25</t>
        </is>
      </c>
      <c r="E1128" s="96" t="n">
        <v>0.07000000000000001</v>
      </c>
      <c r="F1128" s="96" t="n">
        <v>17.972</v>
      </c>
      <c r="G1128" s="97" t="n">
        <v>33.69</v>
      </c>
    </row>
    <row r="1129">
      <c r="C1129" s="100" t="n"/>
      <c r="D1129" s="96" t="inlineStr">
        <is>
          <t>8113496.0:ArcelorMittal FRANCE - 0.0x730.0x1.25</t>
        </is>
      </c>
      <c r="E1129" s="96" t="n">
        <v>0.07000000000000001</v>
      </c>
      <c r="F1129" s="96" t="n">
        <v>17.972</v>
      </c>
      <c r="G1129" s="97" t="n">
        <v>33.69</v>
      </c>
    </row>
    <row r="1130">
      <c r="C1130" s="100" t="n"/>
      <c r="D1130" s="96" t="inlineStr">
        <is>
          <t>8114541.0:ARCELORMITTAL TB LORRAINE SAS - 0.0x485.0x2.1</t>
        </is>
      </c>
      <c r="E1130" s="96" t="n">
        <v>0.01</v>
      </c>
      <c r="F1130" s="96" t="n">
        <v>1.24</v>
      </c>
      <c r="G1130" s="97" t="n">
        <v>18.22</v>
      </c>
    </row>
    <row r="1131">
      <c r="C1131" s="100" t="n"/>
      <c r="D1131" s="98" t="inlineStr">
        <is>
          <t>8011972.0:TRICO BELGIUM SA - 0.0x270.0x2.0</t>
        </is>
      </c>
      <c r="E1131" s="98" t="n">
        <v>0.25</v>
      </c>
      <c r="F1131" s="98" t="n">
        <v>25</v>
      </c>
      <c r="G1131" s="99" t="n">
        <v>13.19</v>
      </c>
    </row>
    <row r="1132">
      <c r="C1132" s="100" t="n"/>
      <c r="D1132" s="98" t="inlineStr">
        <is>
          <t>8015927.0:TRICO BELGIUM SA - 0.0x332.0x2.0</t>
        </is>
      </c>
      <c r="E1132" s="98" t="n">
        <v>0.21</v>
      </c>
      <c r="F1132" s="98" t="n">
        <v>25</v>
      </c>
      <c r="G1132" s="99" t="n">
        <v>15.71</v>
      </c>
    </row>
    <row r="1133">
      <c r="C1133" s="100" t="n"/>
      <c r="D1133" s="96" t="inlineStr">
        <is>
          <t>8022750.0:ARCELORMITTAL TB LORRAINE SAS - 0.0x521.0x1.6</t>
        </is>
      </c>
      <c r="E1133" s="96" t="n">
        <v>0.15</v>
      </c>
      <c r="F1133" s="96" t="n">
        <v>23.75</v>
      </c>
      <c r="G1133" s="97" t="n">
        <v>21.12</v>
      </c>
    </row>
    <row r="1134">
      <c r="C1134" s="100" t="n"/>
      <c r="D1134" s="96" t="inlineStr">
        <is>
          <t>8055856.0:NPL SASU - 0.0x130.0x2.0</t>
        </is>
      </c>
      <c r="E1134" s="96" t="n">
        <v>0.11</v>
      </c>
      <c r="F1134" s="96" t="n">
        <v>8.951000000000001</v>
      </c>
      <c r="G1134" s="97" t="n">
        <v>10.7</v>
      </c>
    </row>
    <row r="1135">
      <c r="C1135" s="100" t="n"/>
      <c r="D1135" s="96" t="inlineStr">
        <is>
          <t>8056282.0:NPL SASU - 0.0x514.0x2.5</t>
        </is>
      </c>
      <c r="E1135" s="96" t="n">
        <v>0.03</v>
      </c>
      <c r="F1135" s="96" t="n">
        <v>11.475</v>
      </c>
      <c r="G1135" s="97" t="n">
        <v>50.84</v>
      </c>
    </row>
    <row r="1136">
      <c r="C1136" s="103" t="n"/>
      <c r="D1136" s="104" t="inlineStr">
        <is>
          <t>8108338.0:ARCELORMITTAL TB LORRAINE SAS - 0.0x419.0x1.4</t>
        </is>
      </c>
      <c r="E1136" s="104" t="n">
        <v>0.01</v>
      </c>
      <c r="F1136" s="104" t="n">
        <v>2.915</v>
      </c>
      <c r="G1136" s="105" t="n">
        <v>31.38</v>
      </c>
    </row>
    <row r="1140">
      <c r="C1140" s="92" t="inlineStr">
        <is>
          <t>Details for : R6 serie - Postes Forecast W</t>
        </is>
      </c>
      <c r="D1140" s="93" t="inlineStr">
        <is>
          <t>Article : Client - Length x Width x Thickness</t>
        </is>
      </c>
      <c r="E1140" s="93" t="inlineStr">
        <is>
          <t>Postes</t>
        </is>
      </c>
      <c r="F1140" s="93" t="inlineStr">
        <is>
          <t>Tonnes</t>
        </is>
      </c>
      <c r="G1140" s="94" t="inlineStr">
        <is>
          <t>Productivity</t>
        </is>
      </c>
    </row>
    <row r="1141">
      <c r="C1141" s="95" t="inlineStr">
        <is>
          <t>Sum Tonnes : 516.04</t>
        </is>
      </c>
      <c r="D1141" s="96" t="inlineStr">
        <is>
          <t>8089687.0:ArcelorMittal FRANCE - 0.0x875.0x1.17</t>
        </is>
      </c>
      <c r="E1141" s="96" t="n">
        <v>0.09</v>
      </c>
      <c r="F1141" s="96" t="n">
        <v>28.17</v>
      </c>
      <c r="G1141" s="97" t="n">
        <v>44.15</v>
      </c>
    </row>
    <row r="1142">
      <c r="C1142" s="95" t="inlineStr">
        <is>
          <t>Sum Postes : 3.04</t>
        </is>
      </c>
      <c r="D1142" s="96" t="inlineStr">
        <is>
          <t>8089687.0:ArcelorMittal FRANCE - 0.0x875.0x1.17</t>
        </is>
      </c>
      <c r="E1142" s="96" t="n">
        <v>0.09</v>
      </c>
      <c r="F1142" s="96" t="n">
        <v>28.21</v>
      </c>
      <c r="G1142" s="97" t="n">
        <v>44.15</v>
      </c>
    </row>
    <row r="1143">
      <c r="C1143" s="95" t="inlineStr">
        <is>
          <t>Average Productivity : 24.89</t>
        </is>
      </c>
      <c r="D1143" s="96" t="inlineStr">
        <is>
          <t>8089687.0:ArcelorMittal FRANCE - 0.0x875.0x1.17</t>
        </is>
      </c>
      <c r="E1143" s="96" t="n">
        <v>0.09</v>
      </c>
      <c r="F1143" s="96" t="n">
        <v>28.51</v>
      </c>
      <c r="G1143" s="97" t="n">
        <v>44.15</v>
      </c>
    </row>
    <row r="1144">
      <c r="C1144" s="100" t="n"/>
      <c r="D1144" s="96" t="inlineStr">
        <is>
          <t>8113496.0:ArcelorMittal FRANCE - 0.0x730.0x1.25</t>
        </is>
      </c>
      <c r="E1144" s="96" t="n">
        <v>0.07000000000000001</v>
      </c>
      <c r="F1144" s="96" t="n">
        <v>17.972</v>
      </c>
      <c r="G1144" s="97" t="n">
        <v>33.69</v>
      </c>
    </row>
    <row r="1145">
      <c r="C1145" s="100" t="n"/>
      <c r="D1145" s="96" t="inlineStr">
        <is>
          <t>8089688.0:ArcelorMittal FRANCE - 0.0x708.0x1.1</t>
        </is>
      </c>
      <c r="E1145" s="96" t="n">
        <v>0.1</v>
      </c>
      <c r="F1145" s="96" t="n">
        <v>20.653</v>
      </c>
      <c r="G1145" s="97" t="n">
        <v>26.85</v>
      </c>
    </row>
    <row r="1146">
      <c r="C1146" s="100" t="n"/>
      <c r="D1146" s="96" t="inlineStr">
        <is>
          <t>8114438.0:GESTAMP NOURY S.A. - 0.0x296.2x1.8</t>
        </is>
      </c>
      <c r="E1146" s="96" t="n">
        <v>0.03</v>
      </c>
      <c r="F1146" s="96" t="n">
        <v>4.7</v>
      </c>
      <c r="G1146" s="97" t="n">
        <v>23.02</v>
      </c>
    </row>
    <row r="1147">
      <c r="C1147" s="100" t="n"/>
      <c r="D1147" s="96" t="inlineStr">
        <is>
          <t>8110915.0:ArcelorMittal FRANCE - 0.0x820.0x1.2</t>
        </is>
      </c>
      <c r="E1147" s="96" t="n">
        <v>0.08</v>
      </c>
      <c r="F1147" s="96" t="n">
        <v>26.28</v>
      </c>
      <c r="G1147" s="97" t="n">
        <v>43.1</v>
      </c>
    </row>
    <row r="1148">
      <c r="C1148" s="100" t="n"/>
      <c r="D1148" s="96" t="inlineStr">
        <is>
          <t>8012271.0:BAOMARC - 0.0x177.7x0.8</t>
        </is>
      </c>
      <c r="E1148" s="96" t="n">
        <v>0.24</v>
      </c>
      <c r="F1148" s="96" t="n">
        <v>12</v>
      </c>
      <c r="G1148" s="97" t="n">
        <v>6.69</v>
      </c>
    </row>
    <row r="1149">
      <c r="C1149" s="100" t="n"/>
      <c r="D1149" s="96" t="inlineStr">
        <is>
          <t>8011852.0:BAOMARC - 0.0x193.1x1.2</t>
        </is>
      </c>
      <c r="E1149" s="96" t="n">
        <v>0.11</v>
      </c>
      <c r="F1149" s="96" t="n">
        <v>12</v>
      </c>
      <c r="G1149" s="97" t="n">
        <v>14.57</v>
      </c>
    </row>
    <row r="1150">
      <c r="C1150" s="100" t="n"/>
      <c r="D1150" s="96" t="inlineStr">
        <is>
          <t>8011924.0:BAOMARC - 0.0x497.8x1.5</t>
        </is>
      </c>
      <c r="E1150" s="96" t="n">
        <v>0.15</v>
      </c>
      <c r="F1150" s="96" t="n">
        <v>25</v>
      </c>
      <c r="G1150" s="97" t="n">
        <v>21.87</v>
      </c>
    </row>
    <row r="1151">
      <c r="C1151" s="100" t="n"/>
      <c r="D1151" s="96" t="inlineStr">
        <is>
          <t>8011972.0:TRICO BELGIUM SA - 0.0x270.0x2.0</t>
        </is>
      </c>
      <c r="E1151" s="96" t="n">
        <v>0.25</v>
      </c>
      <c r="F1151" s="96" t="n">
        <v>25</v>
      </c>
      <c r="G1151" s="97" t="n">
        <v>13.19</v>
      </c>
    </row>
    <row r="1152">
      <c r="C1152" s="100" t="n"/>
      <c r="D1152" s="96" t="inlineStr">
        <is>
          <t>8012088.0:UNIPRES MAGNETTO CORPORATION - 0.0x707.0x1.8</t>
        </is>
      </c>
      <c r="E1152" s="96" t="n">
        <v>0.04</v>
      </c>
      <c r="F1152" s="96" t="n">
        <v>10</v>
      </c>
      <c r="G1152" s="97" t="n">
        <v>34.13</v>
      </c>
    </row>
    <row r="1153">
      <c r="C1153" s="100" t="n"/>
      <c r="D1153" s="96" t="inlineStr">
        <is>
          <t>8012089.0:UNIPRES MAGNETTO CORPORATION - 0.0x663.0x1.8</t>
        </is>
      </c>
      <c r="E1153" s="96" t="n">
        <v>0.07000000000000001</v>
      </c>
      <c r="F1153" s="96" t="n">
        <v>14</v>
      </c>
      <c r="G1153" s="97" t="n">
        <v>27.91</v>
      </c>
    </row>
    <row r="1154">
      <c r="C1154" s="100" t="n"/>
      <c r="D1154" s="96" t="inlineStr">
        <is>
          <t>8012107.0:UNIPRES MAGNETTO CORPORATION - 0.0x1054.0x1.6</t>
        </is>
      </c>
      <c r="E1154" s="96" t="n">
        <v>0.09</v>
      </c>
      <c r="F1154" s="96" t="n">
        <v>14</v>
      </c>
      <c r="G1154" s="97" t="n">
        <v>20.17</v>
      </c>
    </row>
    <row r="1155">
      <c r="C1155" s="100" t="n"/>
      <c r="D1155" s="96" t="inlineStr">
        <is>
          <t>8012108.0:UNIPRES MAGNETTO CORPORATION - 0.0x850.0x1.4</t>
        </is>
      </c>
      <c r="E1155" s="96" t="n">
        <v>0.12</v>
      </c>
      <c r="F1155" s="96" t="n">
        <v>14</v>
      </c>
      <c r="G1155" s="97" t="n">
        <v>15.48</v>
      </c>
    </row>
    <row r="1156">
      <c r="C1156" s="100" t="n"/>
      <c r="D1156" s="96" t="inlineStr">
        <is>
          <t>8012114.0:UNIPRES MAGNETTO CORPORATION - 0.0x1500.0x1.2</t>
        </is>
      </c>
      <c r="E1156" s="96" t="n">
        <v>0.08</v>
      </c>
      <c r="F1156" s="96" t="n">
        <v>12.5</v>
      </c>
      <c r="G1156" s="97" t="n">
        <v>21.26</v>
      </c>
    </row>
    <row r="1157">
      <c r="C1157" s="100" t="n"/>
      <c r="D1157" s="98" t="inlineStr">
        <is>
          <t>8013650.0:EUROSTAMP S.A - 0.0x480.0x2.2</t>
        </is>
      </c>
      <c r="E1157" s="98" t="n">
        <v>0.2</v>
      </c>
      <c r="F1157" s="98" t="n">
        <v>54</v>
      </c>
      <c r="G1157" s="99" t="n">
        <v>36.24</v>
      </c>
    </row>
    <row r="1158">
      <c r="C1158" s="100" t="n"/>
      <c r="D1158" s="96" t="inlineStr">
        <is>
          <t>8014244.0:SNOP VILLEPINTE - 0.0x207.8x1.15</t>
        </is>
      </c>
      <c r="E1158" s="96" t="n">
        <v>0.13</v>
      </c>
      <c r="F1158" s="96" t="n">
        <v>21.7</v>
      </c>
      <c r="G1158" s="97" t="n">
        <v>22.46</v>
      </c>
    </row>
    <row r="1159">
      <c r="C1159" s="100" t="n"/>
      <c r="D1159" s="101" t="inlineStr">
        <is>
          <t>8014246.0:SNOP VILLEPINTE - 0.0x65.5x1.5</t>
        </is>
      </c>
      <c r="E1159" s="101" t="n">
        <v>0.02</v>
      </c>
      <c r="F1159" s="101" t="n">
        <v>2</v>
      </c>
      <c r="G1159" s="102" t="n">
        <v>16.79</v>
      </c>
    </row>
    <row r="1160">
      <c r="C1160" s="100" t="n"/>
      <c r="D1160" s="96" t="inlineStr">
        <is>
          <t>8012383.0:WAGON AUTOMOTIVE - 0.0x650.0x0.75</t>
        </is>
      </c>
      <c r="E1160" s="96" t="n">
        <v>0.13</v>
      </c>
      <c r="F1160" s="96" t="n">
        <v>20</v>
      </c>
      <c r="G1160" s="97" t="n">
        <v>20.66</v>
      </c>
    </row>
    <row r="1161">
      <c r="C1161" s="100" t="n"/>
      <c r="D1161" s="96" t="inlineStr">
        <is>
          <t>8014863.0:UNIPRES MAGNETTO CORPORATION - 0.0x1600.0x1.2</t>
        </is>
      </c>
      <c r="E1161" s="96" t="n">
        <v>0.05</v>
      </c>
      <c r="F1161" s="96" t="n">
        <v>10</v>
      </c>
      <c r="G1161" s="97" t="n">
        <v>24.35</v>
      </c>
    </row>
    <row r="1162">
      <c r="C1162" s="100" t="n"/>
      <c r="D1162" s="96" t="inlineStr">
        <is>
          <t>8014734.0:UNIPRES MAGNETTO CORPORATION - 0.0x755.0x2.2</t>
        </is>
      </c>
      <c r="E1162" s="96" t="n">
        <v>0.08</v>
      </c>
      <c r="F1162" s="96" t="n">
        <v>9.34</v>
      </c>
      <c r="G1162" s="97" t="n">
        <v>15.94</v>
      </c>
    </row>
    <row r="1163">
      <c r="C1163" s="100" t="n"/>
      <c r="D1163" s="96" t="inlineStr">
        <is>
          <t>8016361.0:ARCELORMITTAL TB LORRAINE SAS - 0.0x335.0x0.8</t>
        </is>
      </c>
      <c r="E1163" s="96" t="n">
        <v>0.13</v>
      </c>
      <c r="F1163" s="96" t="n">
        <v>12</v>
      </c>
      <c r="G1163" s="97" t="n">
        <v>12.43</v>
      </c>
    </row>
    <row r="1164">
      <c r="C1164" s="100" t="n"/>
      <c r="D1164" s="96" t="inlineStr">
        <is>
          <t>8012090.0:UNIPRES MAGNETTO CORPORATION - 0.0x903.0x1.4</t>
        </is>
      </c>
      <c r="E1164" s="96" t="n">
        <v>0.09</v>
      </c>
      <c r="F1164" s="96" t="n">
        <v>14</v>
      </c>
      <c r="G1164" s="97" t="n">
        <v>21.71</v>
      </c>
    </row>
    <row r="1165">
      <c r="C1165" s="100" t="n"/>
      <c r="D1165" s="96" t="inlineStr">
        <is>
          <t>8023002.0:BAOMARC - 0.0x205.8x1.2</t>
        </is>
      </c>
      <c r="E1165" s="96" t="n">
        <v>0.17</v>
      </c>
      <c r="F1165" s="96" t="n">
        <v>25</v>
      </c>
      <c r="G1165" s="97" t="n">
        <v>20.1</v>
      </c>
    </row>
    <row r="1166">
      <c r="C1166" s="100" t="n"/>
      <c r="D1166" s="96" t="inlineStr">
        <is>
          <t>8022750.0:ARCELORMITTAL TB LORRAINE SAS - 0.0x521.0x1.6</t>
        </is>
      </c>
      <c r="E1166" s="96" t="n">
        <v>0.13</v>
      </c>
      <c r="F1166" s="96" t="n">
        <v>20</v>
      </c>
      <c r="G1166" s="97" t="n">
        <v>21.12</v>
      </c>
    </row>
    <row r="1167">
      <c r="C1167" s="100" t="n"/>
      <c r="D1167" s="96" t="inlineStr">
        <is>
          <t>8014842.0:MAGNA LORRAINE - 0.0x178.0x1.35</t>
        </is>
      </c>
      <c r="E1167" s="96" t="n">
        <v>0.02</v>
      </c>
      <c r="F1167" s="96" t="n">
        <v>3</v>
      </c>
      <c r="G1167" s="97" t="n">
        <v>21.9</v>
      </c>
    </row>
    <row r="1168">
      <c r="C1168" s="100" t="n"/>
      <c r="D1168" s="96" t="inlineStr">
        <is>
          <t>8012371.0:MAGNA LORRAINE - 0.0x283.0x1.05</t>
        </is>
      </c>
      <c r="E1168" s="96" t="n">
        <v>0.08</v>
      </c>
      <c r="F1168" s="96" t="n">
        <v>14</v>
      </c>
      <c r="G1168" s="97" t="n">
        <v>22.67</v>
      </c>
    </row>
    <row r="1169">
      <c r="C1169" s="100" t="n"/>
      <c r="D1169" s="96" t="inlineStr">
        <is>
          <t>8091293.0:MAGNA LORRAINE - 0.0x710.0x0.95</t>
        </is>
      </c>
      <c r="E1169" s="96" t="n">
        <v>0.06</v>
      </c>
      <c r="F1169" s="96" t="n">
        <v>6</v>
      </c>
      <c r="G1169" s="97" t="n">
        <v>12.92</v>
      </c>
    </row>
    <row r="1170">
      <c r="C1170" s="103" t="n"/>
      <c r="D1170" s="104" t="inlineStr">
        <is>
          <t>8108338.0:ARCELORMITTAL TB LORRAINE SAS - 0.0x419.0x1.4</t>
        </is>
      </c>
      <c r="E1170" s="104" t="n">
        <v>0.05</v>
      </c>
      <c r="F1170" s="104" t="n">
        <v>12</v>
      </c>
      <c r="G1170" s="105" t="n">
        <v>31.38</v>
      </c>
    </row>
    <row r="1174">
      <c r="C1174" s="92" t="inlineStr">
        <is>
          <t>Details for : R6 serie - Postes Forecast W1</t>
        </is>
      </c>
      <c r="D1174" s="93" t="inlineStr">
        <is>
          <t>Article : Client - Length x Width x Thickness</t>
        </is>
      </c>
      <c r="E1174" s="93" t="inlineStr">
        <is>
          <t>Postes</t>
        </is>
      </c>
      <c r="F1174" s="93" t="inlineStr">
        <is>
          <t>Tonnes</t>
        </is>
      </c>
      <c r="G1174" s="94" t="inlineStr">
        <is>
          <t>Productivity</t>
        </is>
      </c>
    </row>
    <row r="1175">
      <c r="C1175" s="95" t="inlineStr">
        <is>
          <t>Sum Tonnes : 417.94</t>
        </is>
      </c>
      <c r="D1175" s="98" t="inlineStr">
        <is>
          <t>8028440.0:VIESSMANN FAULQUEMONT SAS - 0.0x103.1x1.5</t>
        </is>
      </c>
      <c r="E1175" s="98" t="n">
        <v>0.37</v>
      </c>
      <c r="F1175" s="98" t="n">
        <v>50</v>
      </c>
      <c r="G1175" s="99" t="n">
        <v>18.13</v>
      </c>
    </row>
    <row r="1176">
      <c r="C1176" s="95" t="inlineStr">
        <is>
          <t>Sum Postes : 2.87</t>
        </is>
      </c>
      <c r="D1176" s="96" t="inlineStr">
        <is>
          <t>8013657.0:Häseler Metall technik GmbH - 0.0x280.0x0.7</t>
        </is>
      </c>
      <c r="E1176" s="96" t="n">
        <v>0.12</v>
      </c>
      <c r="F1176" s="96" t="n">
        <v>11</v>
      </c>
      <c r="G1176" s="97" t="n">
        <v>12.05</v>
      </c>
    </row>
    <row r="1177">
      <c r="C1177" s="95" t="inlineStr">
        <is>
          <t>Average Productivity : 24.89</t>
        </is>
      </c>
      <c r="D1177" s="96" t="inlineStr">
        <is>
          <t>8113496.0:ArcelorMittal FRANCE - 0.0x730.0x1.25</t>
        </is>
      </c>
      <c r="E1177" s="96" t="n">
        <v>0.14</v>
      </c>
      <c r="F1177" s="96" t="n">
        <v>35.675</v>
      </c>
      <c r="G1177" s="97" t="n">
        <v>33.69</v>
      </c>
    </row>
    <row r="1178">
      <c r="C1178" s="100" t="n"/>
      <c r="D1178" s="96" t="inlineStr">
        <is>
          <t>8012273.0:BAOMARC - 0.0x371.0x1.5</t>
        </is>
      </c>
      <c r="E1178" s="96" t="n">
        <v>0.11</v>
      </c>
      <c r="F1178" s="96" t="n">
        <v>24</v>
      </c>
      <c r="G1178" s="97" t="n">
        <v>29.12</v>
      </c>
    </row>
    <row r="1179">
      <c r="C1179" s="100" t="n"/>
      <c r="D1179" s="96" t="inlineStr">
        <is>
          <t>8012274.0:BAOMARC - 0.0x286.7x1.5</t>
        </is>
      </c>
      <c r="E1179" s="96" t="n">
        <v>0.15</v>
      </c>
      <c r="F1179" s="96" t="n">
        <v>24</v>
      </c>
      <c r="G1179" s="97" t="n">
        <v>21.27</v>
      </c>
    </row>
    <row r="1180">
      <c r="C1180" s="100" t="n"/>
      <c r="D1180" s="96" t="inlineStr">
        <is>
          <t>8011863.0:BAOMARC - 0.0x276.5x1.5</t>
        </is>
      </c>
      <c r="E1180" s="96" t="n">
        <v>0.08</v>
      </c>
      <c r="F1180" s="96" t="n">
        <v>24</v>
      </c>
      <c r="G1180" s="97" t="n">
        <v>42.13</v>
      </c>
    </row>
    <row r="1181">
      <c r="C1181" s="100" t="n"/>
      <c r="D1181" s="96" t="inlineStr">
        <is>
          <t>8011972.0:TRICO BELGIUM SA - 0.0x270.0x2.0</t>
        </is>
      </c>
      <c r="E1181" s="96" t="n">
        <v>0.25</v>
      </c>
      <c r="F1181" s="96" t="n">
        <v>25</v>
      </c>
      <c r="G1181" s="97" t="n">
        <v>13.19</v>
      </c>
    </row>
    <row r="1182">
      <c r="C1182" s="100" t="n"/>
      <c r="D1182" s="96" t="inlineStr">
        <is>
          <t>8013865.0:GESTAMP NOURY S.A. - 0.0x280.4x1.05</t>
        </is>
      </c>
      <c r="E1182" s="96" t="n">
        <v>0.23</v>
      </c>
      <c r="F1182" s="96" t="n">
        <v>39</v>
      </c>
      <c r="G1182" s="97" t="n">
        <v>22.58</v>
      </c>
    </row>
    <row r="1183">
      <c r="C1183" s="100" t="n"/>
      <c r="D1183" s="96" t="inlineStr">
        <is>
          <t>8012110.0:UNIPRES MAGNETTO CORPORATION - 0.0x1080.0x1.8</t>
        </is>
      </c>
      <c r="E1183" s="96" t="n">
        <v>0.08</v>
      </c>
      <c r="F1183" s="96" t="n">
        <v>14</v>
      </c>
      <c r="G1183" s="97" t="n">
        <v>24.83</v>
      </c>
    </row>
    <row r="1184">
      <c r="C1184" s="100" t="n"/>
      <c r="D1184" s="96" t="inlineStr">
        <is>
          <t>8012111.0:UNIPRES MAGNETTO CORPORATION - 0.0x1243.0x1.0</t>
        </is>
      </c>
      <c r="E1184" s="96" t="n">
        <v>0.1</v>
      </c>
      <c r="F1184" s="96" t="n">
        <v>14</v>
      </c>
      <c r="G1184" s="97" t="n">
        <v>19.4</v>
      </c>
    </row>
    <row r="1185">
      <c r="C1185" s="100" t="n"/>
      <c r="D1185" s="96" t="inlineStr">
        <is>
          <t>8012114.0:UNIPRES MAGNETTO CORPORATION - 0.0x1500.0x1.2</t>
        </is>
      </c>
      <c r="E1185" s="96" t="n">
        <v>0.08</v>
      </c>
      <c r="F1185" s="96" t="n">
        <v>12.5</v>
      </c>
      <c r="G1185" s="97" t="n">
        <v>21.26</v>
      </c>
    </row>
    <row r="1186">
      <c r="C1186" s="100" t="n"/>
      <c r="D1186" s="96" t="inlineStr">
        <is>
          <t>8011958.0:EUROSTAMP S.A - 0.0x485.0x2.0</t>
        </is>
      </c>
      <c r="E1186" s="96" t="n">
        <v>0.11</v>
      </c>
      <c r="F1186" s="96" t="n">
        <v>11.47</v>
      </c>
      <c r="G1186" s="97" t="n">
        <v>14</v>
      </c>
    </row>
    <row r="1187">
      <c r="C1187" s="100" t="n"/>
      <c r="D1187" s="96" t="inlineStr">
        <is>
          <t>8013920.0:MAGNA LORRAINE - 0.0x450.0x1.3</t>
        </is>
      </c>
      <c r="E1187" s="96" t="n">
        <v>0.04</v>
      </c>
      <c r="F1187" s="96" t="n">
        <v>8</v>
      </c>
      <c r="G1187" s="97" t="n">
        <v>24.71</v>
      </c>
    </row>
    <row r="1188">
      <c r="C1188" s="100" t="n"/>
      <c r="D1188" s="96" t="inlineStr">
        <is>
          <t>8014244.0:SNOP VILLEPINTE - 0.0x207.8x1.15</t>
        </is>
      </c>
      <c r="E1188" s="96" t="n">
        <v>0.13</v>
      </c>
      <c r="F1188" s="96" t="n">
        <v>21.7</v>
      </c>
      <c r="G1188" s="97" t="n">
        <v>22.46</v>
      </c>
    </row>
    <row r="1189">
      <c r="C1189" s="100" t="n"/>
      <c r="D1189" s="96" t="inlineStr">
        <is>
          <t>8014336.0:SNOP VILLEPINTE - 0.0x106.8x1.05</t>
        </is>
      </c>
      <c r="E1189" s="96" t="n">
        <v>0.01</v>
      </c>
      <c r="F1189" s="96" t="n">
        <v>1.7</v>
      </c>
      <c r="G1189" s="97" t="n">
        <v>16.72</v>
      </c>
    </row>
    <row r="1190">
      <c r="C1190" s="100" t="n"/>
      <c r="D1190" s="96" t="inlineStr">
        <is>
          <t>8014246.0:SNOP VILLEPINTE - 0.0x65.5x1.5</t>
        </is>
      </c>
      <c r="E1190" s="96" t="n">
        <v>0.02</v>
      </c>
      <c r="F1190" s="96" t="n">
        <v>2</v>
      </c>
      <c r="G1190" s="97" t="n">
        <v>16.79</v>
      </c>
    </row>
    <row r="1191">
      <c r="C1191" s="100" t="n"/>
      <c r="D1191" s="96" t="inlineStr">
        <is>
          <t>8022750.0:ARCELORMITTAL TB LORRAINE SAS - 0.0x521.0x1.6</t>
        </is>
      </c>
      <c r="E1191" s="96" t="n">
        <v>0.04</v>
      </c>
      <c r="F1191" s="96" t="n">
        <v>6.4</v>
      </c>
      <c r="G1191" s="97" t="n">
        <v>21.12</v>
      </c>
    </row>
    <row r="1192">
      <c r="C1192" s="100" t="n"/>
      <c r="D1192" s="96" t="inlineStr">
        <is>
          <t>8014842.0:MAGNA LORRAINE - 0.0x178.0x1.35</t>
        </is>
      </c>
      <c r="E1192" s="96" t="n">
        <v>0.1</v>
      </c>
      <c r="F1192" s="96" t="n">
        <v>17</v>
      </c>
      <c r="G1192" s="97" t="n">
        <v>21.9</v>
      </c>
    </row>
    <row r="1193">
      <c r="C1193" s="100" t="n"/>
      <c r="D1193" s="96" t="inlineStr">
        <is>
          <t>8012371.0:MAGNA LORRAINE - 0.0x283.0x1.05</t>
        </is>
      </c>
      <c r="E1193" s="96" t="n">
        <v>0.11</v>
      </c>
      <c r="F1193" s="96" t="n">
        <v>18</v>
      </c>
      <c r="G1193" s="97" t="n">
        <v>22.67</v>
      </c>
    </row>
    <row r="1194">
      <c r="C1194" s="100" t="n"/>
      <c r="D1194" s="96" t="inlineStr">
        <is>
          <t>8058635.0:MAGNA LORRAINE - 0.0x690.0x1.15</t>
        </is>
      </c>
      <c r="E1194" s="96" t="n">
        <v>0.05</v>
      </c>
      <c r="F1194" s="96" t="n">
        <v>11</v>
      </c>
      <c r="G1194" s="97" t="n">
        <v>31.34</v>
      </c>
    </row>
    <row r="1195">
      <c r="C1195" s="100" t="n"/>
      <c r="D1195" s="96" t="inlineStr">
        <is>
          <t>8058636.0:MAGNA LORRAINE - 0.0x510.0x0.6</t>
        </is>
      </c>
      <c r="E1195" s="96" t="n">
        <v>0.08</v>
      </c>
      <c r="F1195" s="96" t="n">
        <v>4</v>
      </c>
      <c r="G1195" s="97" t="n">
        <v>6.29</v>
      </c>
    </row>
    <row r="1196">
      <c r="C1196" s="100" t="n"/>
      <c r="D1196" s="101" t="inlineStr">
        <is>
          <t>8055856.0:NPL SASU - 0.0x130.0x2.0</t>
        </is>
      </c>
      <c r="E1196" s="101" t="n">
        <v>0.02</v>
      </c>
      <c r="F1196" s="101" t="n">
        <v>1.499</v>
      </c>
      <c r="G1196" s="102" t="n">
        <v>10.7</v>
      </c>
    </row>
    <row r="1197">
      <c r="C1197" s="100" t="n"/>
      <c r="D1197" s="96" t="inlineStr">
        <is>
          <t>8056282.0:NPL SASU - 0.0x514.0x2.5</t>
        </is>
      </c>
      <c r="E1197" s="96" t="n">
        <v>0.03</v>
      </c>
      <c r="F1197" s="96" t="n">
        <v>10</v>
      </c>
      <c r="G1197" s="97" t="n">
        <v>50.84</v>
      </c>
    </row>
    <row r="1198">
      <c r="C1198" s="100" t="n"/>
      <c r="D1198" s="96" t="inlineStr">
        <is>
          <t>8086194.0:MA POLSKA - 0.0x184.3x1.6</t>
        </is>
      </c>
      <c r="E1198" s="96" t="n">
        <v>0.16</v>
      </c>
      <c r="F1198" s="96" t="n">
        <v>10</v>
      </c>
      <c r="G1198" s="97" t="n">
        <v>8.43</v>
      </c>
    </row>
    <row r="1199">
      <c r="C1199" s="100" t="n"/>
      <c r="D1199" s="96" t="inlineStr">
        <is>
          <t>8086196.0:MA POLSKA - 0.0x227.5x1.6</t>
        </is>
      </c>
      <c r="E1199" s="96" t="n">
        <v>0.08</v>
      </c>
      <c r="F1199" s="96" t="n">
        <v>10</v>
      </c>
      <c r="G1199" s="97" t="n">
        <v>16.98</v>
      </c>
    </row>
    <row r="1200">
      <c r="C1200" s="100" t="n"/>
      <c r="D1200" s="96" t="inlineStr">
        <is>
          <t>8088347.0:RENAULT S.A.S - 0.0x505.0x2.0</t>
        </is>
      </c>
      <c r="E1200" s="96" t="n">
        <v>0.08</v>
      </c>
      <c r="F1200" s="96" t="n">
        <v>6</v>
      </c>
      <c r="G1200" s="97" t="n">
        <v>9.6</v>
      </c>
    </row>
    <row r="1201">
      <c r="C1201" s="103" t="n"/>
      <c r="D1201" s="104" t="inlineStr">
        <is>
          <t>8088356.0:RENAULT S.A.S - 0.0x390.0x0.65</t>
        </is>
      </c>
      <c r="E1201" s="104" t="n">
        <v>0.1</v>
      </c>
      <c r="F1201" s="104" t="n">
        <v>6</v>
      </c>
      <c r="G1201" s="105" t="n">
        <v>7.78</v>
      </c>
    </row>
    <row r="1205">
      <c r="C1205" s="92" t="inlineStr">
        <is>
          <t>Details for : R6 serie - Postes Forecast W2</t>
        </is>
      </c>
      <c r="D1205" s="93" t="inlineStr">
        <is>
          <t>Article : Client - Length x Width x Thickness</t>
        </is>
      </c>
      <c r="E1205" s="93" t="inlineStr">
        <is>
          <t>Postes</t>
        </is>
      </c>
      <c r="F1205" s="93" t="inlineStr">
        <is>
          <t>Tonnes</t>
        </is>
      </c>
      <c r="G1205" s="94" t="inlineStr">
        <is>
          <t>Productivity</t>
        </is>
      </c>
    </row>
    <row r="1206">
      <c r="C1206" s="95" t="inlineStr">
        <is>
          <t>Sum Tonnes : 486.75</t>
        </is>
      </c>
      <c r="D1206" s="96" t="inlineStr">
        <is>
          <t>8089558.0:ArcelorMittal FRANCE - 0.0x880.0x1.4</t>
        </is>
      </c>
      <c r="E1206" s="96" t="n">
        <v>0.05</v>
      </c>
      <c r="F1206" s="96" t="n">
        <v>10.587</v>
      </c>
      <c r="G1206" s="97" t="n">
        <v>31.21</v>
      </c>
    </row>
    <row r="1207">
      <c r="C1207" s="95" t="inlineStr">
        <is>
          <t>Sum Postes : 2.96</t>
        </is>
      </c>
      <c r="D1207" s="96" t="inlineStr">
        <is>
          <t>8110915.0:ArcelorMittal FRANCE - 0.0x820.0x1.2</t>
        </is>
      </c>
      <c r="E1207" s="96" t="n">
        <v>0.04</v>
      </c>
      <c r="F1207" s="96" t="n">
        <v>11.614</v>
      </c>
      <c r="G1207" s="97" t="n">
        <v>43.1</v>
      </c>
    </row>
    <row r="1208">
      <c r="C1208" s="95" t="inlineStr">
        <is>
          <t>Average Productivity : 24.89</t>
        </is>
      </c>
      <c r="D1208" s="96" t="inlineStr">
        <is>
          <t>8110801.0:ArcelorMittal FRANCE - 0.0x850.0x1.8</t>
        </is>
      </c>
      <c r="E1208" s="96" t="n">
        <v>0.08</v>
      </c>
      <c r="F1208" s="96" t="n">
        <v>23.148</v>
      </c>
      <c r="G1208" s="97" t="n">
        <v>38.67</v>
      </c>
    </row>
    <row r="1209">
      <c r="C1209" s="100" t="n"/>
      <c r="D1209" s="96" t="inlineStr">
        <is>
          <t>8110915.0:ArcelorMittal FRANCE - 0.0x820.0x1.2</t>
        </is>
      </c>
      <c r="E1209" s="96" t="n">
        <v>0.09</v>
      </c>
      <c r="F1209" s="96" t="n">
        <v>29.766</v>
      </c>
      <c r="G1209" s="97" t="n">
        <v>43.1</v>
      </c>
    </row>
    <row r="1210">
      <c r="C1210" s="100" t="n"/>
      <c r="D1210" s="96" t="inlineStr">
        <is>
          <t>8088484.0:ArcelorMittal FRANCE - 0.0x877.0x1.2</t>
        </is>
      </c>
      <c r="E1210" s="96" t="n">
        <v>0.1</v>
      </c>
      <c r="F1210" s="96" t="n">
        <v>20.077</v>
      </c>
      <c r="G1210" s="97" t="n">
        <v>27.21</v>
      </c>
    </row>
    <row r="1211">
      <c r="C1211" s="100" t="n"/>
      <c r="D1211" s="96" t="inlineStr">
        <is>
          <t>8011924.0:BAOMARC - 0.0x497.8x1.5</t>
        </is>
      </c>
      <c r="E1211" s="96" t="n">
        <v>0.07000000000000001</v>
      </c>
      <c r="F1211" s="96" t="n">
        <v>12</v>
      </c>
      <c r="G1211" s="97" t="n">
        <v>21.87</v>
      </c>
    </row>
    <row r="1212">
      <c r="C1212" s="100" t="n"/>
      <c r="D1212" s="96" t="inlineStr">
        <is>
          <t>8011972.0:TRICO BELGIUM SA - 0.0x270.0x2.0</t>
        </is>
      </c>
      <c r="E1212" s="96" t="n">
        <v>0.25</v>
      </c>
      <c r="F1212" s="96" t="n">
        <v>25</v>
      </c>
      <c r="G1212" s="97" t="n">
        <v>13.19</v>
      </c>
    </row>
    <row r="1213">
      <c r="C1213" s="100" t="n"/>
      <c r="D1213" s="96" t="inlineStr">
        <is>
          <t>8011891.0:BAOMARC - 0.0x566.8x1.9</t>
        </is>
      </c>
      <c r="E1213" s="96" t="n">
        <v>0.25</v>
      </c>
      <c r="F1213" s="96" t="n">
        <v>12</v>
      </c>
      <c r="G1213" s="97" t="n">
        <v>6.45</v>
      </c>
    </row>
    <row r="1214">
      <c r="C1214" s="100" t="n"/>
      <c r="D1214" s="96" t="inlineStr">
        <is>
          <t>8012074.0:GESTAMP NOURY S.A. - 0.0x912.0x1.2</t>
        </is>
      </c>
      <c r="E1214" s="96" t="n">
        <v>0.08</v>
      </c>
      <c r="F1214" s="96" t="n">
        <v>7.5</v>
      </c>
      <c r="G1214" s="97" t="n">
        <v>13.18</v>
      </c>
    </row>
    <row r="1215">
      <c r="C1215" s="100" t="n"/>
      <c r="D1215" s="96" t="inlineStr">
        <is>
          <t>8012088.0:UNIPRES MAGNETTO CORPORATION - 0.0x707.0x1.8</t>
        </is>
      </c>
      <c r="E1215" s="96" t="n">
        <v>0.04</v>
      </c>
      <c r="F1215" s="96" t="n">
        <v>10</v>
      </c>
      <c r="G1215" s="97" t="n">
        <v>34.13</v>
      </c>
    </row>
    <row r="1216">
      <c r="C1216" s="100" t="n"/>
      <c r="D1216" s="96" t="inlineStr">
        <is>
          <t>8012106.0:UNIPRES MAGNETTO CORPORATION - 0.0x950.0x1.4</t>
        </is>
      </c>
      <c r="E1216" s="96" t="n">
        <v>0.08</v>
      </c>
      <c r="F1216" s="96" t="n">
        <v>14</v>
      </c>
      <c r="G1216" s="97" t="n">
        <v>22.05</v>
      </c>
    </row>
    <row r="1217">
      <c r="C1217" s="100" t="n"/>
      <c r="D1217" s="96" t="inlineStr">
        <is>
          <t>8012107.0:UNIPRES MAGNETTO CORPORATION - 0.0x1054.0x1.6</t>
        </is>
      </c>
      <c r="E1217" s="96" t="n">
        <v>0.09</v>
      </c>
      <c r="F1217" s="96" t="n">
        <v>14</v>
      </c>
      <c r="G1217" s="97" t="n">
        <v>20.17</v>
      </c>
    </row>
    <row r="1218">
      <c r="C1218" s="100" t="n"/>
      <c r="D1218" s="96" t="inlineStr">
        <is>
          <t>8012108.0:UNIPRES MAGNETTO CORPORATION - 0.0x850.0x1.4</t>
        </is>
      </c>
      <c r="E1218" s="96" t="n">
        <v>0.12</v>
      </c>
      <c r="F1218" s="96" t="n">
        <v>14</v>
      </c>
      <c r="G1218" s="97" t="n">
        <v>15.48</v>
      </c>
    </row>
    <row r="1219">
      <c r="C1219" s="100" t="n"/>
      <c r="D1219" s="96" t="inlineStr">
        <is>
          <t>8012109.0:UNIPRES MAGNETTO CORPORATION - 0.0x742.0x1.8</t>
        </is>
      </c>
      <c r="E1219" s="96" t="n">
        <v>0.03</v>
      </c>
      <c r="F1219" s="96" t="n">
        <v>10</v>
      </c>
      <c r="G1219" s="97" t="n">
        <v>38.21</v>
      </c>
    </row>
    <row r="1220">
      <c r="C1220" s="100" t="n"/>
      <c r="D1220" s="96" t="inlineStr">
        <is>
          <t>8012243.0:UNIPRES MAGNETTO CORPORATION - 0.0x875.0x1.8</t>
        </is>
      </c>
      <c r="E1220" s="96" t="n">
        <v>0.08</v>
      </c>
      <c r="F1220" s="96" t="n">
        <v>14</v>
      </c>
      <c r="G1220" s="97" t="n">
        <v>24.68</v>
      </c>
    </row>
    <row r="1221">
      <c r="C1221" s="100" t="n"/>
      <c r="D1221" s="96" t="inlineStr">
        <is>
          <t>8012112.0:UNIPRES MAGNETTO CORPORATION - 0.0x969.0x1.2</t>
        </is>
      </c>
      <c r="E1221" s="96" t="n">
        <v>0.08</v>
      </c>
      <c r="F1221" s="96" t="n">
        <v>14</v>
      </c>
      <c r="G1221" s="97" t="n">
        <v>23.81</v>
      </c>
    </row>
    <row r="1222">
      <c r="C1222" s="100" t="n"/>
      <c r="D1222" s="98" t="inlineStr">
        <is>
          <t>8013650.0:EUROSTAMP S.A - 0.0x480.0x2.2</t>
        </is>
      </c>
      <c r="E1222" s="98" t="n">
        <v>0.3</v>
      </c>
      <c r="F1222" s="98" t="n">
        <v>81</v>
      </c>
      <c r="G1222" s="99" t="n">
        <v>36.24</v>
      </c>
    </row>
    <row r="1223">
      <c r="C1223" s="100" t="n"/>
      <c r="D1223" s="96" t="inlineStr">
        <is>
          <t>8014244.0:SNOP VILLEPINTE - 0.0x207.8x1.15</t>
        </is>
      </c>
      <c r="E1223" s="96" t="n">
        <v>0.11</v>
      </c>
      <c r="F1223" s="96" t="n">
        <v>18.6</v>
      </c>
      <c r="G1223" s="97" t="n">
        <v>22.46</v>
      </c>
    </row>
    <row r="1224">
      <c r="C1224" s="100" t="n"/>
      <c r="D1224" s="96" t="inlineStr">
        <is>
          <t>8014246.0:SNOP VILLEPINTE - 0.0x65.5x1.5</t>
        </is>
      </c>
      <c r="E1224" s="96" t="n">
        <v>0.02</v>
      </c>
      <c r="F1224" s="96" t="n">
        <v>2</v>
      </c>
      <c r="G1224" s="97" t="n">
        <v>16.79</v>
      </c>
    </row>
    <row r="1225">
      <c r="C1225" s="100" t="n"/>
      <c r="D1225" s="96" t="inlineStr">
        <is>
          <t>8013889.0:GESTAMP NOURY S.A. - 0.0x226.5x1.6</t>
        </is>
      </c>
      <c r="E1225" s="96" t="n">
        <v>0.16</v>
      </c>
      <c r="F1225" s="96" t="n">
        <v>33</v>
      </c>
      <c r="G1225" s="97" t="n">
        <v>27.7</v>
      </c>
    </row>
    <row r="1226">
      <c r="C1226" s="100" t="n"/>
      <c r="D1226" s="101" t="inlineStr">
        <is>
          <t>8011899.0:SNOP VILLEPINTE - 0.0x190.0x1.45</t>
        </is>
      </c>
      <c r="E1226" s="101" t="n">
        <v>0.01</v>
      </c>
      <c r="F1226" s="101" t="n">
        <v>0.955</v>
      </c>
      <c r="G1226" s="102" t="n">
        <v>8.699999999999999</v>
      </c>
    </row>
    <row r="1227">
      <c r="C1227" s="100" t="n"/>
      <c r="D1227" s="96" t="inlineStr">
        <is>
          <t>8012090.0:UNIPRES MAGNETTO CORPORATION - 0.0x903.0x1.4</t>
        </is>
      </c>
      <c r="E1227" s="96" t="n">
        <v>0.09</v>
      </c>
      <c r="F1227" s="96" t="n">
        <v>14</v>
      </c>
      <c r="G1227" s="97" t="n">
        <v>21.71</v>
      </c>
    </row>
    <row r="1228">
      <c r="C1228" s="100" t="n"/>
      <c r="D1228" s="96" t="inlineStr">
        <is>
          <t>8022350.0:MAGNA LORRAINE - 0.0x675.0x1.25</t>
        </is>
      </c>
      <c r="E1228" s="96" t="n">
        <v>0.03</v>
      </c>
      <c r="F1228" s="96" t="n">
        <v>8</v>
      </c>
      <c r="G1228" s="97" t="n">
        <v>34.89</v>
      </c>
    </row>
    <row r="1229">
      <c r="C1229" s="100" t="n"/>
      <c r="D1229" s="96" t="inlineStr">
        <is>
          <t>8023002.0:BAOMARC - 0.0x205.8x1.2</t>
        </is>
      </c>
      <c r="E1229" s="96" t="n">
        <v>0.17</v>
      </c>
      <c r="F1229" s="96" t="n">
        <v>25</v>
      </c>
      <c r="G1229" s="97" t="n">
        <v>20.1</v>
      </c>
    </row>
    <row r="1230">
      <c r="C1230" s="100" t="n"/>
      <c r="D1230" s="96" t="inlineStr">
        <is>
          <t>8014842.0:MAGNA LORRAINE - 0.0x178.0x1.35</t>
        </is>
      </c>
      <c r="E1230" s="96" t="n">
        <v>0.05</v>
      </c>
      <c r="F1230" s="96" t="n">
        <v>9</v>
      </c>
      <c r="G1230" s="97" t="n">
        <v>21.9</v>
      </c>
    </row>
    <row r="1231">
      <c r="C1231" s="100" t="n"/>
      <c r="D1231" s="96" t="inlineStr">
        <is>
          <t>8012371.0:MAGNA LORRAINE - 0.0x283.0x1.05</t>
        </is>
      </c>
      <c r="E1231" s="96" t="n">
        <v>0.02</v>
      </c>
      <c r="F1231" s="96" t="n">
        <v>4</v>
      </c>
      <c r="G1231" s="97" t="n">
        <v>22.67</v>
      </c>
    </row>
    <row r="1232">
      <c r="C1232" s="100" t="n"/>
      <c r="D1232" s="96" t="inlineStr">
        <is>
          <t>8058635.0:MAGNA LORRAINE - 0.0x690.0x1.15</t>
        </is>
      </c>
      <c r="E1232" s="96" t="n">
        <v>0.04</v>
      </c>
      <c r="F1232" s="96" t="n">
        <v>10</v>
      </c>
      <c r="G1232" s="97" t="n">
        <v>31.34</v>
      </c>
    </row>
    <row r="1233">
      <c r="C1233" s="100" t="n"/>
      <c r="D1233" s="96" t="inlineStr">
        <is>
          <t>8068165.0:MAGNA LORRAINE - 0.0x815.0x0.6</t>
        </is>
      </c>
      <c r="E1233" s="96" t="n">
        <v>0.05</v>
      </c>
      <c r="F1233" s="96" t="n">
        <v>5</v>
      </c>
      <c r="G1233" s="97" t="n">
        <v>13.09</v>
      </c>
    </row>
    <row r="1234">
      <c r="C1234" s="100" t="n"/>
      <c r="D1234" s="96" t="inlineStr">
        <is>
          <t>8055856.0:NPL SASU - 0.0x130.0x2.0</t>
        </is>
      </c>
      <c r="E1234" s="96" t="n">
        <v>0.02</v>
      </c>
      <c r="F1234" s="96" t="n">
        <v>1.499</v>
      </c>
      <c r="G1234" s="97" t="n">
        <v>10.7</v>
      </c>
    </row>
    <row r="1235">
      <c r="C1235" s="100" t="n"/>
      <c r="D1235" s="96" t="inlineStr">
        <is>
          <t>8083082.0:RENAULT S.A.S - 0.0x530.0x2.0</t>
        </is>
      </c>
      <c r="E1235" s="96" t="n">
        <v>0.07000000000000001</v>
      </c>
      <c r="F1235" s="96" t="n">
        <v>5</v>
      </c>
      <c r="G1235" s="97" t="n">
        <v>10.25</v>
      </c>
    </row>
    <row r="1236">
      <c r="C1236" s="100" t="n"/>
      <c r="D1236" s="96" t="inlineStr">
        <is>
          <t>8083083.0:RENAULT S.A.S - 0.0x725.0x0.65</t>
        </is>
      </c>
      <c r="E1236" s="96" t="n">
        <v>0.05</v>
      </c>
      <c r="F1236" s="96" t="n">
        <v>8</v>
      </c>
      <c r="G1236" s="97" t="n">
        <v>19.57</v>
      </c>
    </row>
    <row r="1237">
      <c r="C1237" s="100" t="n"/>
      <c r="D1237" s="96" t="inlineStr">
        <is>
          <t>8086194.0:MA POLSKA - 0.0x184.3x1.6</t>
        </is>
      </c>
      <c r="E1237" s="96" t="n">
        <v>0.16</v>
      </c>
      <c r="F1237" s="96" t="n">
        <v>10</v>
      </c>
      <c r="G1237" s="97" t="n">
        <v>8.43</v>
      </c>
    </row>
    <row r="1238">
      <c r="C1238" s="103" t="n"/>
      <c r="D1238" s="104" t="inlineStr">
        <is>
          <t>8086196.0:MA POLSKA - 0.0x227.5x1.6</t>
        </is>
      </c>
      <c r="E1238" s="104" t="n">
        <v>0.08</v>
      </c>
      <c r="F1238" s="104" t="n">
        <v>10</v>
      </c>
      <c r="G1238" s="105" t="n">
        <v>16.98</v>
      </c>
    </row>
    <row r="1242">
      <c r="C1242" s="92" t="inlineStr">
        <is>
          <t>Details for : R6 serie - Postes Forecast W3</t>
        </is>
      </c>
      <c r="D1242" s="93" t="inlineStr">
        <is>
          <t>Article : Client - Length x Width x Thickness</t>
        </is>
      </c>
      <c r="E1242" s="93" t="inlineStr">
        <is>
          <t>Postes</t>
        </is>
      </c>
      <c r="F1242" s="93" t="inlineStr">
        <is>
          <t>Tonnes</t>
        </is>
      </c>
      <c r="G1242" s="94" t="inlineStr">
        <is>
          <t>Productivity</t>
        </is>
      </c>
    </row>
    <row r="1243">
      <c r="C1243" s="95" t="inlineStr">
        <is>
          <t>Sum Tonnes : 608.56</t>
        </is>
      </c>
      <c r="D1243" s="98" t="inlineStr">
        <is>
          <t>8091318.0:PLACOPLATRE SA - 0.0x100.0x0.52</t>
        </is>
      </c>
      <c r="E1243" s="98" t="n">
        <v>1.48</v>
      </c>
      <c r="F1243" s="98" t="n">
        <v>200</v>
      </c>
      <c r="G1243" s="99" t="n">
        <v>18.01</v>
      </c>
    </row>
    <row r="1244">
      <c r="C1244" s="95" t="inlineStr">
        <is>
          <t>Sum Postes : 4.06</t>
        </is>
      </c>
      <c r="D1244" s="96" t="inlineStr">
        <is>
          <t>8011924.0:BAOMARC - 0.0x497.8x1.5</t>
        </is>
      </c>
      <c r="E1244" s="96" t="n">
        <v>0.38</v>
      </c>
      <c r="F1244" s="96" t="n">
        <v>62</v>
      </c>
      <c r="G1244" s="97" t="n">
        <v>21.87</v>
      </c>
    </row>
    <row r="1245">
      <c r="C1245" s="95" t="inlineStr">
        <is>
          <t>Average Productivity : 24.89</t>
        </is>
      </c>
      <c r="D1245" s="96" t="inlineStr">
        <is>
          <t>8013865.0:GESTAMP NOURY S.A. - 0.0x280.4x1.05</t>
        </is>
      </c>
      <c r="E1245" s="96" t="n">
        <v>0.09</v>
      </c>
      <c r="F1245" s="96" t="n">
        <v>15</v>
      </c>
      <c r="G1245" s="97" t="n">
        <v>22.58</v>
      </c>
    </row>
    <row r="1246">
      <c r="C1246" s="100" t="n"/>
      <c r="D1246" s="96" t="inlineStr">
        <is>
          <t>8012005.0:ARCELORMITTAL TB LORRAINE SAS - 0.0x390.0x1.2</t>
        </is>
      </c>
      <c r="E1246" s="96" t="n">
        <v>0.05</v>
      </c>
      <c r="F1246" s="96" t="n">
        <v>7</v>
      </c>
      <c r="G1246" s="97" t="n">
        <v>18.32</v>
      </c>
    </row>
    <row r="1247">
      <c r="C1247" s="100" t="n"/>
      <c r="D1247" s="96" t="inlineStr">
        <is>
          <t>8012088.0:UNIPRES MAGNETTO CORPORATION - 0.0x707.0x1.8</t>
        </is>
      </c>
      <c r="E1247" s="96" t="n">
        <v>0.04</v>
      </c>
      <c r="F1247" s="96" t="n">
        <v>10</v>
      </c>
      <c r="G1247" s="97" t="n">
        <v>34.13</v>
      </c>
    </row>
    <row r="1248">
      <c r="C1248" s="100" t="n"/>
      <c r="D1248" s="96" t="inlineStr">
        <is>
          <t>8012107.0:UNIPRES MAGNETTO CORPORATION - 0.0x1054.0x1.6</t>
        </is>
      </c>
      <c r="E1248" s="96" t="n">
        <v>0.19</v>
      </c>
      <c r="F1248" s="96" t="n">
        <v>28</v>
      </c>
      <c r="G1248" s="97" t="n">
        <v>20.17</v>
      </c>
    </row>
    <row r="1249">
      <c r="C1249" s="100" t="n"/>
      <c r="D1249" s="96" t="inlineStr">
        <is>
          <t>8012110.0:UNIPRES MAGNETTO CORPORATION - 0.0x1080.0x1.8</t>
        </is>
      </c>
      <c r="E1249" s="96" t="n">
        <v>0.08</v>
      </c>
      <c r="F1249" s="96" t="n">
        <v>14</v>
      </c>
      <c r="G1249" s="97" t="n">
        <v>24.83</v>
      </c>
    </row>
    <row r="1250">
      <c r="C1250" s="100" t="n"/>
      <c r="D1250" s="96" t="inlineStr">
        <is>
          <t>8012114.0:UNIPRES MAGNETTO CORPORATION - 0.0x1500.0x1.2</t>
        </is>
      </c>
      <c r="E1250" s="96" t="n">
        <v>0.08</v>
      </c>
      <c r="F1250" s="96" t="n">
        <v>12.5</v>
      </c>
      <c r="G1250" s="97" t="n">
        <v>21.26</v>
      </c>
    </row>
    <row r="1251">
      <c r="C1251" s="100" t="n"/>
      <c r="D1251" s="96" t="inlineStr">
        <is>
          <t>8013650.0:EUROSTAMP S.A - 0.0x480.0x2.2</t>
        </is>
      </c>
      <c r="E1251" s="96" t="n">
        <v>0.2</v>
      </c>
      <c r="F1251" s="96" t="n">
        <v>54</v>
      </c>
      <c r="G1251" s="97" t="n">
        <v>36.24</v>
      </c>
    </row>
    <row r="1252">
      <c r="C1252" s="100" t="n"/>
      <c r="D1252" s="96" t="inlineStr">
        <is>
          <t>8013920.0:MAGNA LORRAINE - 0.0x450.0x1.3</t>
        </is>
      </c>
      <c r="E1252" s="96" t="n">
        <v>0.04</v>
      </c>
      <c r="F1252" s="96" t="n">
        <v>8</v>
      </c>
      <c r="G1252" s="97" t="n">
        <v>24.71</v>
      </c>
    </row>
    <row r="1253">
      <c r="C1253" s="100" t="n"/>
      <c r="D1253" s="96" t="inlineStr">
        <is>
          <t>8014244.0:SNOP VILLEPINTE - 0.0x207.8x1.15</t>
        </is>
      </c>
      <c r="E1253" s="96" t="n">
        <v>0.07000000000000001</v>
      </c>
      <c r="F1253" s="96" t="n">
        <v>12.4</v>
      </c>
      <c r="G1253" s="97" t="n">
        <v>22.46</v>
      </c>
    </row>
    <row r="1254">
      <c r="C1254" s="100" t="n"/>
      <c r="D1254" s="96" t="inlineStr">
        <is>
          <t>8014336.0:SNOP VILLEPINTE - 0.0x106.8x1.05</t>
        </is>
      </c>
      <c r="E1254" s="96" t="n">
        <v>0.01</v>
      </c>
      <c r="F1254" s="96" t="n">
        <v>1.7</v>
      </c>
      <c r="G1254" s="97" t="n">
        <v>16.72</v>
      </c>
    </row>
    <row r="1255">
      <c r="C1255" s="100" t="n"/>
      <c r="D1255" s="96" t="inlineStr">
        <is>
          <t>8014246.0:SNOP VILLEPINTE - 0.0x65.5x1.5</t>
        </is>
      </c>
      <c r="E1255" s="96" t="n">
        <v>0.02</v>
      </c>
      <c r="F1255" s="96" t="n">
        <v>2</v>
      </c>
      <c r="G1255" s="97" t="n">
        <v>16.79</v>
      </c>
    </row>
    <row r="1256">
      <c r="C1256" s="100" t="n"/>
      <c r="D1256" s="96" t="inlineStr">
        <is>
          <t>8012383.0:WAGON AUTOMOTIVE - 0.0x650.0x0.75</t>
        </is>
      </c>
      <c r="E1256" s="96" t="n">
        <v>0.13</v>
      </c>
      <c r="F1256" s="96" t="n">
        <v>20</v>
      </c>
      <c r="G1256" s="97" t="n">
        <v>20.66</v>
      </c>
    </row>
    <row r="1257">
      <c r="C1257" s="100" t="n"/>
      <c r="D1257" s="96" t="inlineStr">
        <is>
          <t>8013889.0:GESTAMP NOURY S.A. - 0.0x226.5x1.6</t>
        </is>
      </c>
      <c r="E1257" s="96" t="n">
        <v>0.12</v>
      </c>
      <c r="F1257" s="96" t="n">
        <v>24</v>
      </c>
      <c r="G1257" s="97" t="n">
        <v>27.7</v>
      </c>
    </row>
    <row r="1258">
      <c r="C1258" s="100" t="n"/>
      <c r="D1258" s="96" t="inlineStr">
        <is>
          <t>8014863.0:UNIPRES MAGNETTO CORPORATION - 0.0x1600.0x1.2</t>
        </is>
      </c>
      <c r="E1258" s="96" t="n">
        <v>0.05</v>
      </c>
      <c r="F1258" s="96" t="n">
        <v>10</v>
      </c>
      <c r="G1258" s="97" t="n">
        <v>24.35</v>
      </c>
    </row>
    <row r="1259">
      <c r="C1259" s="100" t="n"/>
      <c r="D1259" s="96" t="inlineStr">
        <is>
          <t>8014734.0:UNIPRES MAGNETTO CORPORATION - 0.0x755.0x2.2</t>
        </is>
      </c>
      <c r="E1259" s="96" t="n">
        <v>0.08</v>
      </c>
      <c r="F1259" s="96" t="n">
        <v>10</v>
      </c>
      <c r="G1259" s="97" t="n">
        <v>15.94</v>
      </c>
    </row>
    <row r="1260">
      <c r="C1260" s="100" t="n"/>
      <c r="D1260" s="96" t="inlineStr">
        <is>
          <t>8015927.0:TRICO BELGIUM SA - 0.0x332.0x2.0</t>
        </is>
      </c>
      <c r="E1260" s="96" t="n">
        <v>0.21</v>
      </c>
      <c r="F1260" s="96" t="n">
        <v>25</v>
      </c>
      <c r="G1260" s="97" t="n">
        <v>15.71</v>
      </c>
    </row>
    <row r="1261">
      <c r="C1261" s="100" t="n"/>
      <c r="D1261" s="101" t="inlineStr">
        <is>
          <t>8011899.0:SNOP VILLEPINTE - 0.0x190.0x1.45</t>
        </is>
      </c>
      <c r="E1261" s="101" t="n">
        <v>0.01</v>
      </c>
      <c r="F1261" s="101" t="n">
        <v>0.955</v>
      </c>
      <c r="G1261" s="102" t="n">
        <v>8.699999999999999</v>
      </c>
    </row>
    <row r="1262">
      <c r="C1262" s="100" t="n"/>
      <c r="D1262" s="96" t="inlineStr">
        <is>
          <t>8012090.0:UNIPRES MAGNETTO CORPORATION - 0.0x903.0x1.4</t>
        </is>
      </c>
      <c r="E1262" s="96" t="n">
        <v>0.09</v>
      </c>
      <c r="F1262" s="96" t="n">
        <v>14</v>
      </c>
      <c r="G1262" s="97" t="n">
        <v>21.71</v>
      </c>
    </row>
    <row r="1263">
      <c r="C1263" s="100" t="n"/>
      <c r="D1263" s="96" t="inlineStr">
        <is>
          <t>8022750.0:ARCELORMITTAL TB LORRAINE SAS - 0.0x521.0x1.6</t>
        </is>
      </c>
      <c r="E1263" s="96" t="n">
        <v>0.13</v>
      </c>
      <c r="F1263" s="96" t="n">
        <v>20</v>
      </c>
      <c r="G1263" s="97" t="n">
        <v>21.12</v>
      </c>
    </row>
    <row r="1264">
      <c r="C1264" s="100" t="n"/>
      <c r="D1264" s="96" t="inlineStr">
        <is>
          <t>8014842.0:MAGNA LORRAINE - 0.0x178.0x1.35</t>
        </is>
      </c>
      <c r="E1264" s="96" t="n">
        <v>0.1</v>
      </c>
      <c r="F1264" s="96" t="n">
        <v>17</v>
      </c>
      <c r="G1264" s="97" t="n">
        <v>21.9</v>
      </c>
    </row>
    <row r="1265">
      <c r="C1265" s="100" t="n"/>
      <c r="D1265" s="96" t="inlineStr">
        <is>
          <t>8012371.0:MAGNA LORRAINE - 0.0x283.0x1.05</t>
        </is>
      </c>
      <c r="E1265" s="96" t="n">
        <v>0.08</v>
      </c>
      <c r="F1265" s="96" t="n">
        <v>14</v>
      </c>
      <c r="G1265" s="97" t="n">
        <v>22.67</v>
      </c>
    </row>
    <row r="1266">
      <c r="C1266" s="100" t="n"/>
      <c r="D1266" s="96" t="inlineStr">
        <is>
          <t>8058636.0:MAGNA LORRAINE - 0.0x510.0x0.6</t>
        </is>
      </c>
      <c r="E1266" s="96" t="n">
        <v>0.08</v>
      </c>
      <c r="F1266" s="96" t="n">
        <v>4</v>
      </c>
      <c r="G1266" s="97" t="n">
        <v>6.29</v>
      </c>
    </row>
    <row r="1267">
      <c r="C1267" s="100" t="n"/>
      <c r="D1267" s="96" t="inlineStr">
        <is>
          <t>8083083.0:RENAULT S.A.S - 0.0x725.0x0.65</t>
        </is>
      </c>
      <c r="E1267" s="96" t="n">
        <v>0.05</v>
      </c>
      <c r="F1267" s="96" t="n">
        <v>8</v>
      </c>
      <c r="G1267" s="97" t="n">
        <v>19.57</v>
      </c>
    </row>
    <row r="1268">
      <c r="C1268" s="100" t="n"/>
      <c r="D1268" s="96" t="inlineStr">
        <is>
          <t>8088367.0:RENAULT S.A.S - 0.0x375.0x1.0</t>
        </is>
      </c>
      <c r="E1268" s="96" t="n">
        <v>0.14</v>
      </c>
      <c r="F1268" s="96" t="n">
        <v>9</v>
      </c>
      <c r="G1268" s="97" t="n">
        <v>8.720000000000001</v>
      </c>
    </row>
    <row r="1269">
      <c r="C1269" s="103" t="n"/>
      <c r="D1269" s="104" t="inlineStr">
        <is>
          <t>8091293.0:MAGNA LORRAINE - 0.0x710.0x0.95</t>
        </is>
      </c>
      <c r="E1269" s="104" t="n">
        <v>0.06</v>
      </c>
      <c r="F1269" s="104" t="n">
        <v>6</v>
      </c>
      <c r="G1269" s="105" t="n">
        <v>12.92</v>
      </c>
    </row>
    <row r="1273">
      <c r="C1273" s="92" t="inlineStr">
        <is>
          <t>Details for : R6 serie - Postes Forecast W4</t>
        </is>
      </c>
      <c r="D1273" s="93" t="inlineStr">
        <is>
          <t>Article : Client - Length x Width x Thickness</t>
        </is>
      </c>
      <c r="E1273" s="93" t="inlineStr">
        <is>
          <t>Postes</t>
        </is>
      </c>
      <c r="F1273" s="93" t="inlineStr">
        <is>
          <t>Tonnes</t>
        </is>
      </c>
      <c r="G1273" s="94" t="inlineStr">
        <is>
          <t>Productivity</t>
        </is>
      </c>
    </row>
    <row r="1274">
      <c r="C1274" s="95" t="inlineStr">
        <is>
          <t>Sum Tonnes : 307.7</t>
        </is>
      </c>
      <c r="D1274" s="96" t="inlineStr">
        <is>
          <t>8012273.0:BAOMARC - 0.0x371.0x1.5</t>
        </is>
      </c>
      <c r="E1274" s="96" t="n">
        <v>0.11</v>
      </c>
      <c r="F1274" s="96" t="n">
        <v>24</v>
      </c>
      <c r="G1274" s="97" t="n">
        <v>29.12</v>
      </c>
    </row>
    <row r="1275">
      <c r="C1275" s="95" t="inlineStr">
        <is>
          <t>Sum Postes : 1.84</t>
        </is>
      </c>
      <c r="D1275" s="96" t="inlineStr">
        <is>
          <t>8011849.0:BAOMARC - 0.0x120.0x1.2</t>
        </is>
      </c>
      <c r="E1275" s="96" t="n">
        <v>0.28</v>
      </c>
      <c r="F1275" s="96" t="n">
        <v>12</v>
      </c>
      <c r="G1275" s="97" t="n">
        <v>5.67</v>
      </c>
    </row>
    <row r="1276">
      <c r="C1276" s="95" t="inlineStr">
        <is>
          <t>Average Productivity : 24.89</t>
        </is>
      </c>
      <c r="D1276" s="101" t="inlineStr">
        <is>
          <t>8011914.0:MAGNA LORRAINE - 0.0x652.0x1.5</t>
        </is>
      </c>
      <c r="E1276" s="101" t="n">
        <v>0.02</v>
      </c>
      <c r="F1276" s="101" t="n">
        <v>7</v>
      </c>
      <c r="G1276" s="102" t="n">
        <v>40.63</v>
      </c>
    </row>
    <row r="1277">
      <c r="C1277" s="100" t="n"/>
      <c r="D1277" s="96" t="inlineStr">
        <is>
          <t>8011924.0:BAOMARC - 0.0x497.8x1.5</t>
        </is>
      </c>
      <c r="E1277" s="96" t="n">
        <v>0.07000000000000001</v>
      </c>
      <c r="F1277" s="96" t="n">
        <v>12</v>
      </c>
      <c r="G1277" s="97" t="n">
        <v>21.87</v>
      </c>
    </row>
    <row r="1278">
      <c r="C1278" s="100" t="n"/>
      <c r="D1278" s="96" t="inlineStr">
        <is>
          <t>8011839.0:UNIPRES MAGNETTO CORPORATION - 0.0x217.0x1.8</t>
        </is>
      </c>
      <c r="E1278" s="96" t="n">
        <v>0.05</v>
      </c>
      <c r="F1278" s="96" t="n">
        <v>8.5</v>
      </c>
      <c r="G1278" s="97" t="n">
        <v>23.08</v>
      </c>
    </row>
    <row r="1279">
      <c r="C1279" s="100" t="n"/>
      <c r="D1279" s="96" t="inlineStr">
        <is>
          <t>8012088.0:UNIPRES MAGNETTO CORPORATION - 0.0x707.0x1.8</t>
        </is>
      </c>
      <c r="E1279" s="96" t="n">
        <v>0.04</v>
      </c>
      <c r="F1279" s="96" t="n">
        <v>10</v>
      </c>
      <c r="G1279" s="97" t="n">
        <v>34.13</v>
      </c>
    </row>
    <row r="1280">
      <c r="C1280" s="100" t="n"/>
      <c r="D1280" s="96" t="inlineStr">
        <is>
          <t>8012089.0:UNIPRES MAGNETTO CORPORATION - 0.0x663.0x1.8</t>
        </is>
      </c>
      <c r="E1280" s="96" t="n">
        <v>0.07000000000000001</v>
      </c>
      <c r="F1280" s="96" t="n">
        <v>14</v>
      </c>
      <c r="G1280" s="97" t="n">
        <v>27.91</v>
      </c>
    </row>
    <row r="1281">
      <c r="C1281" s="100" t="n"/>
      <c r="D1281" s="96" t="inlineStr">
        <is>
          <t>8012106.0:UNIPRES MAGNETTO CORPORATION - 0.0x950.0x1.4</t>
        </is>
      </c>
      <c r="E1281" s="96" t="n">
        <v>0.08</v>
      </c>
      <c r="F1281" s="96" t="n">
        <v>14</v>
      </c>
      <c r="G1281" s="97" t="n">
        <v>22.05</v>
      </c>
    </row>
    <row r="1282">
      <c r="C1282" s="100" t="n"/>
      <c r="D1282" s="96" t="inlineStr">
        <is>
          <t>8012107.0:UNIPRES MAGNETTO CORPORATION - 0.0x1054.0x1.6</t>
        </is>
      </c>
      <c r="E1282" s="96" t="n">
        <v>0.09</v>
      </c>
      <c r="F1282" s="96" t="n">
        <v>14</v>
      </c>
      <c r="G1282" s="97" t="n">
        <v>20.17</v>
      </c>
    </row>
    <row r="1283">
      <c r="C1283" s="100" t="n"/>
      <c r="D1283" s="96" t="inlineStr">
        <is>
          <t>8012108.0:UNIPRES MAGNETTO CORPORATION - 0.0x850.0x1.4</t>
        </is>
      </c>
      <c r="E1283" s="96" t="n">
        <v>0.12</v>
      </c>
      <c r="F1283" s="96" t="n">
        <v>14</v>
      </c>
      <c r="G1283" s="97" t="n">
        <v>15.48</v>
      </c>
    </row>
    <row r="1284">
      <c r="C1284" s="100" t="n"/>
      <c r="D1284" s="96" t="inlineStr">
        <is>
          <t>8012109.0:UNIPRES MAGNETTO CORPORATION - 0.0x742.0x1.8</t>
        </is>
      </c>
      <c r="E1284" s="96" t="n">
        <v>0.03</v>
      </c>
      <c r="F1284" s="96" t="n">
        <v>10</v>
      </c>
      <c r="G1284" s="97" t="n">
        <v>38.21</v>
      </c>
    </row>
    <row r="1285">
      <c r="C1285" s="100" t="n"/>
      <c r="D1285" s="96" t="inlineStr">
        <is>
          <t>8012243.0:UNIPRES MAGNETTO CORPORATION - 0.0x875.0x1.8</t>
        </is>
      </c>
      <c r="E1285" s="96" t="n">
        <v>0.08</v>
      </c>
      <c r="F1285" s="96" t="n">
        <v>14</v>
      </c>
      <c r="G1285" s="97" t="n">
        <v>24.68</v>
      </c>
    </row>
    <row r="1286">
      <c r="C1286" s="100" t="n"/>
      <c r="D1286" s="96" t="inlineStr">
        <is>
          <t>8012111.0:UNIPRES MAGNETTO CORPORATION - 0.0x1243.0x1.0</t>
        </is>
      </c>
      <c r="E1286" s="96" t="n">
        <v>0.1</v>
      </c>
      <c r="F1286" s="96" t="n">
        <v>14</v>
      </c>
      <c r="G1286" s="97" t="n">
        <v>19.4</v>
      </c>
    </row>
    <row r="1287">
      <c r="C1287" s="100" t="n"/>
      <c r="D1287" s="96" t="inlineStr">
        <is>
          <t>8012114.0:UNIPRES MAGNETTO CORPORATION - 0.0x1500.0x1.2</t>
        </is>
      </c>
      <c r="E1287" s="96" t="n">
        <v>0.08</v>
      </c>
      <c r="F1287" s="96" t="n">
        <v>12.5</v>
      </c>
      <c r="G1287" s="97" t="n">
        <v>21.26</v>
      </c>
    </row>
    <row r="1288">
      <c r="C1288" s="100" t="n"/>
      <c r="D1288" s="98" t="inlineStr">
        <is>
          <t>8013650.0:EUROSTAMP S.A - 0.0x480.0x2.2</t>
        </is>
      </c>
      <c r="E1288" s="98" t="n">
        <v>0.2</v>
      </c>
      <c r="F1288" s="98" t="n">
        <v>54</v>
      </c>
      <c r="G1288" s="99" t="n">
        <v>36.24</v>
      </c>
    </row>
    <row r="1289">
      <c r="C1289" s="100" t="n"/>
      <c r="D1289" s="96" t="inlineStr">
        <is>
          <t>8014244.0:SNOP VILLEPINTE - 0.0x207.8x1.15</t>
        </is>
      </c>
      <c r="E1289" s="96" t="n">
        <v>0.13</v>
      </c>
      <c r="F1289" s="96" t="n">
        <v>21.7</v>
      </c>
      <c r="G1289" s="97" t="n">
        <v>22.46</v>
      </c>
    </row>
    <row r="1290">
      <c r="C1290" s="100" t="n"/>
      <c r="D1290" s="96" t="inlineStr">
        <is>
          <t>8013889.0:GESTAMP NOURY S.A. - 0.0x226.5x1.6</t>
        </is>
      </c>
      <c r="E1290" s="96" t="n">
        <v>0.07000000000000001</v>
      </c>
      <c r="F1290" s="96" t="n">
        <v>15</v>
      </c>
      <c r="G1290" s="97" t="n">
        <v>27.7</v>
      </c>
    </row>
    <row r="1291">
      <c r="C1291" s="100" t="n"/>
      <c r="D1291" s="96" t="inlineStr">
        <is>
          <t>8023002.0:BAOMARC - 0.0x205.8x1.2</t>
        </is>
      </c>
      <c r="E1291" s="96" t="n">
        <v>0.17</v>
      </c>
      <c r="F1291" s="96" t="n">
        <v>25</v>
      </c>
      <c r="G1291" s="97" t="n">
        <v>20.1</v>
      </c>
    </row>
    <row r="1292">
      <c r="C1292" s="103" t="n"/>
      <c r="D1292" s="104" t="inlineStr">
        <is>
          <t>8108338.0:ARCELORMITTAL TB LORRAINE SAS - 0.0x419.0x1.4</t>
        </is>
      </c>
      <c r="E1292" s="104" t="n">
        <v>0.05</v>
      </c>
      <c r="F1292" s="104" t="n">
        <v>12</v>
      </c>
      <c r="G1292" s="105" t="n">
        <v>31.38</v>
      </c>
    </row>
    <row r="1296">
      <c r="C1296" s="92" t="inlineStr">
        <is>
          <t>Details for : R6 serie - Postes Forecast W5</t>
        </is>
      </c>
      <c r="D1296" s="93" t="inlineStr">
        <is>
          <t>Article : Client - Length x Width x Thickness</t>
        </is>
      </c>
      <c r="E1296" s="93" t="inlineStr">
        <is>
          <t>Postes</t>
        </is>
      </c>
      <c r="F1296" s="93" t="inlineStr">
        <is>
          <t>Tonnes</t>
        </is>
      </c>
      <c r="G1296" s="94" t="inlineStr">
        <is>
          <t>Productivity</t>
        </is>
      </c>
    </row>
    <row r="1297">
      <c r="C1297" s="95" t="inlineStr">
        <is>
          <t>Sum Tonnes : 513.63</t>
        </is>
      </c>
      <c r="D1297" s="96" t="inlineStr">
        <is>
          <t>8013657.0:Häseler Metall technik GmbH - 0.0x280.0x0.7</t>
        </is>
      </c>
      <c r="E1297" s="96" t="n">
        <v>0.11</v>
      </c>
      <c r="F1297" s="96" t="n">
        <v>10</v>
      </c>
      <c r="G1297" s="97" t="n">
        <v>12.05</v>
      </c>
    </row>
    <row r="1298">
      <c r="C1298" s="95" t="inlineStr">
        <is>
          <t>Sum Postes : 2.9</t>
        </is>
      </c>
      <c r="D1298" s="96" t="inlineStr">
        <is>
          <t>8028440.0:VIESSMANN FAULQUEMONT SAS - 0.0x103.1x1.5</t>
        </is>
      </c>
      <c r="E1298" s="96" t="n">
        <v>0.37</v>
      </c>
      <c r="F1298" s="96" t="n">
        <v>50</v>
      </c>
      <c r="G1298" s="97" t="n">
        <v>18.13</v>
      </c>
    </row>
    <row r="1299">
      <c r="C1299" s="95" t="inlineStr">
        <is>
          <t>Average Productivity : 24.89</t>
        </is>
      </c>
      <c r="D1299" s="98" t="inlineStr">
        <is>
          <t>8089687.0:ArcelorMittal FRANCE - 0.0x875.0x1.17</t>
        </is>
      </c>
      <c r="E1299" s="98" t="n">
        <v>0.17</v>
      </c>
      <c r="F1299" s="98" t="n">
        <v>57.325</v>
      </c>
      <c r="G1299" s="99" t="n">
        <v>44.15</v>
      </c>
    </row>
    <row r="1300">
      <c r="C1300" s="100" t="n"/>
      <c r="D1300" s="96" t="inlineStr">
        <is>
          <t>8012274.0:BAOMARC - 0.0x286.7x1.5</t>
        </is>
      </c>
      <c r="E1300" s="96" t="n">
        <v>0.15</v>
      </c>
      <c r="F1300" s="96" t="n">
        <v>24</v>
      </c>
      <c r="G1300" s="97" t="n">
        <v>21.27</v>
      </c>
    </row>
    <row r="1301">
      <c r="C1301" s="100" t="n"/>
      <c r="D1301" s="96" t="inlineStr">
        <is>
          <t>8011924.0:BAOMARC - 0.0x497.8x1.5</t>
        </is>
      </c>
      <c r="E1301" s="96" t="n">
        <v>0.23</v>
      </c>
      <c r="F1301" s="96" t="n">
        <v>37</v>
      </c>
      <c r="G1301" s="97" t="n">
        <v>21.87</v>
      </c>
    </row>
    <row r="1302">
      <c r="C1302" s="100" t="n"/>
      <c r="D1302" s="96" t="inlineStr">
        <is>
          <t>8013865.0:GESTAMP NOURY S.A. - 0.0x280.4x1.05</t>
        </is>
      </c>
      <c r="E1302" s="96" t="n">
        <v>0.25</v>
      </c>
      <c r="F1302" s="96" t="n">
        <v>42</v>
      </c>
      <c r="G1302" s="97" t="n">
        <v>22.58</v>
      </c>
    </row>
    <row r="1303">
      <c r="C1303" s="100" t="n"/>
      <c r="D1303" s="96" t="inlineStr">
        <is>
          <t>8012074.0:GESTAMP NOURY S.A. - 0.0x912.0x1.2</t>
        </is>
      </c>
      <c r="E1303" s="96" t="n">
        <v>0.08</v>
      </c>
      <c r="F1303" s="96" t="n">
        <v>7.5</v>
      </c>
      <c r="G1303" s="97" t="n">
        <v>13.18</v>
      </c>
    </row>
    <row r="1304">
      <c r="C1304" s="100" t="n"/>
      <c r="D1304" s="96" t="inlineStr">
        <is>
          <t>8012107.0:UNIPRES MAGNETTO CORPORATION - 0.0x1054.0x1.6</t>
        </is>
      </c>
      <c r="E1304" s="96" t="n">
        <v>0.09</v>
      </c>
      <c r="F1304" s="96" t="n">
        <v>14</v>
      </c>
      <c r="G1304" s="97" t="n">
        <v>20.17</v>
      </c>
    </row>
    <row r="1305">
      <c r="C1305" s="100" t="n"/>
      <c r="D1305" s="96" t="inlineStr">
        <is>
          <t>8012110.0:UNIPRES MAGNETTO CORPORATION - 0.0x1080.0x1.8</t>
        </is>
      </c>
      <c r="E1305" s="96" t="n">
        <v>0.08</v>
      </c>
      <c r="F1305" s="96" t="n">
        <v>14</v>
      </c>
      <c r="G1305" s="97" t="n">
        <v>24.83</v>
      </c>
    </row>
    <row r="1306">
      <c r="C1306" s="100" t="n"/>
      <c r="D1306" s="96" t="inlineStr">
        <is>
          <t>8012112.0:UNIPRES MAGNETTO CORPORATION - 0.0x969.0x1.2</t>
        </is>
      </c>
      <c r="E1306" s="96" t="n">
        <v>0.08</v>
      </c>
      <c r="F1306" s="96" t="n">
        <v>14</v>
      </c>
      <c r="G1306" s="97" t="n">
        <v>23.81</v>
      </c>
    </row>
    <row r="1307">
      <c r="C1307" s="100" t="n"/>
      <c r="D1307" s="96" t="inlineStr">
        <is>
          <t>8012114.0:UNIPRES MAGNETTO CORPORATION - 0.0x1500.0x1.2</t>
        </is>
      </c>
      <c r="E1307" s="96" t="n">
        <v>0.08</v>
      </c>
      <c r="F1307" s="96" t="n">
        <v>12.5</v>
      </c>
      <c r="G1307" s="97" t="n">
        <v>21.26</v>
      </c>
    </row>
    <row r="1308">
      <c r="C1308" s="100" t="n"/>
      <c r="D1308" s="96" t="inlineStr">
        <is>
          <t>8013650.0:EUROSTAMP S.A - 0.0x480.0x2.2</t>
        </is>
      </c>
      <c r="E1308" s="96" t="n">
        <v>0.2</v>
      </c>
      <c r="F1308" s="96" t="n">
        <v>54</v>
      </c>
      <c r="G1308" s="97" t="n">
        <v>36.24</v>
      </c>
    </row>
    <row r="1309">
      <c r="C1309" s="100" t="n"/>
      <c r="D1309" s="96" t="inlineStr">
        <is>
          <t>8014244.0:SNOP VILLEPINTE - 0.0x207.8x1.15</t>
        </is>
      </c>
      <c r="E1309" s="96" t="n">
        <v>0.11</v>
      </c>
      <c r="F1309" s="96" t="n">
        <v>18.6</v>
      </c>
      <c r="G1309" s="97" t="n">
        <v>22.46</v>
      </c>
    </row>
    <row r="1310">
      <c r="C1310" s="100" t="n"/>
      <c r="D1310" s="96" t="inlineStr">
        <is>
          <t>8014336.0:SNOP VILLEPINTE - 0.0x106.8x1.05</t>
        </is>
      </c>
      <c r="E1310" s="96" t="n">
        <v>0.01</v>
      </c>
      <c r="F1310" s="96" t="n">
        <v>1.7</v>
      </c>
      <c r="G1310" s="97" t="n">
        <v>16.72</v>
      </c>
    </row>
    <row r="1311">
      <c r="C1311" s="100" t="n"/>
      <c r="D1311" s="96" t="inlineStr">
        <is>
          <t>8014246.0:SNOP VILLEPINTE - 0.0x65.5x1.5</t>
        </is>
      </c>
      <c r="E1311" s="96" t="n">
        <v>0.02</v>
      </c>
      <c r="F1311" s="96" t="n">
        <v>2.049</v>
      </c>
      <c r="G1311" s="97" t="n">
        <v>16.79</v>
      </c>
    </row>
    <row r="1312">
      <c r="C1312" s="100" t="n"/>
      <c r="D1312" s="96" t="inlineStr">
        <is>
          <t>8013889.0:GESTAMP NOURY S.A. - 0.0x226.5x1.6</t>
        </is>
      </c>
      <c r="E1312" s="96" t="n">
        <v>0.19</v>
      </c>
      <c r="F1312" s="96" t="n">
        <v>39</v>
      </c>
      <c r="G1312" s="97" t="n">
        <v>27.7</v>
      </c>
    </row>
    <row r="1313">
      <c r="C1313" s="100" t="n"/>
      <c r="D1313" s="96" t="inlineStr">
        <is>
          <t>8014863.0:UNIPRES MAGNETTO CORPORATION - 0.0x1600.0x1.2</t>
        </is>
      </c>
      <c r="E1313" s="96" t="n">
        <v>0.05</v>
      </c>
      <c r="F1313" s="96" t="n">
        <v>10</v>
      </c>
      <c r="G1313" s="97" t="n">
        <v>24.35</v>
      </c>
    </row>
    <row r="1314">
      <c r="C1314" s="100" t="n"/>
      <c r="D1314" s="96" t="inlineStr">
        <is>
          <t>8014734.0:UNIPRES MAGNETTO CORPORATION - 0.0x755.0x2.2</t>
        </is>
      </c>
      <c r="E1314" s="96" t="n">
        <v>0.08</v>
      </c>
      <c r="F1314" s="96" t="n">
        <v>10</v>
      </c>
      <c r="G1314" s="97" t="n">
        <v>15.94</v>
      </c>
    </row>
    <row r="1315">
      <c r="C1315" s="100" t="n"/>
      <c r="D1315" s="101" t="inlineStr">
        <is>
          <t>8011899.0:SNOP VILLEPINTE - 0.0x190.0x1.45</t>
        </is>
      </c>
      <c r="E1315" s="101" t="n">
        <v>0.01</v>
      </c>
      <c r="F1315" s="101" t="n">
        <v>0.955</v>
      </c>
      <c r="G1315" s="102" t="n">
        <v>8.699999999999999</v>
      </c>
    </row>
    <row r="1316">
      <c r="C1316" s="100" t="n"/>
      <c r="D1316" s="96" t="inlineStr">
        <is>
          <t>8012090.0:UNIPRES MAGNETTO CORPORATION - 0.0x903.0x1.4</t>
        </is>
      </c>
      <c r="E1316" s="96" t="n">
        <v>0.09</v>
      </c>
      <c r="F1316" s="96" t="n">
        <v>14</v>
      </c>
      <c r="G1316" s="97" t="n">
        <v>21.71</v>
      </c>
    </row>
    <row r="1317">
      <c r="C1317" s="100" t="n"/>
      <c r="D1317" s="96" t="inlineStr">
        <is>
          <t>8022953.0:BAOMARC - 0.0x330.3x1.8</t>
        </is>
      </c>
      <c r="E1317" s="96" t="n">
        <v>0.23</v>
      </c>
      <c r="F1317" s="96" t="n">
        <v>50</v>
      </c>
      <c r="G1317" s="97" t="n">
        <v>28.42</v>
      </c>
    </row>
    <row r="1318">
      <c r="C1318" s="100" t="n"/>
      <c r="D1318" s="96" t="inlineStr">
        <is>
          <t>8014842.0:MAGNA LORRAINE - 0.0x178.0x1.35</t>
        </is>
      </c>
      <c r="E1318" s="96" t="n">
        <v>0.05</v>
      </c>
      <c r="F1318" s="96" t="n">
        <v>9</v>
      </c>
      <c r="G1318" s="97" t="n">
        <v>21.9</v>
      </c>
    </row>
    <row r="1319">
      <c r="C1319" s="100" t="n"/>
      <c r="D1319" s="96" t="inlineStr">
        <is>
          <t>8012371.0:MAGNA LORRAINE - 0.0x283.0x1.05</t>
        </is>
      </c>
      <c r="E1319" s="96" t="n">
        <v>0.08</v>
      </c>
      <c r="F1319" s="96" t="n">
        <v>13</v>
      </c>
      <c r="G1319" s="97" t="n">
        <v>22.67</v>
      </c>
    </row>
    <row r="1320">
      <c r="C1320" s="100" t="n"/>
      <c r="D1320" s="96" t="inlineStr">
        <is>
          <t>8068165.0:MAGNA LORRAINE - 0.0x815.0x0.6</t>
        </is>
      </c>
      <c r="E1320" s="96" t="n">
        <v>0.05</v>
      </c>
      <c r="F1320" s="96" t="n">
        <v>5</v>
      </c>
      <c r="G1320" s="97" t="n">
        <v>13.09</v>
      </c>
    </row>
    <row r="1321">
      <c r="C1321" s="103" t="n"/>
      <c r="D1321" s="104" t="inlineStr">
        <is>
          <t>8091293.0:MAGNA LORRAINE - 0.0x710.0x0.95</t>
        </is>
      </c>
      <c r="E1321" s="104" t="n">
        <v>0.04</v>
      </c>
      <c r="F1321" s="104" t="n">
        <v>4</v>
      </c>
      <c r="G1321" s="105" t="n">
        <v>12.92</v>
      </c>
    </row>
    <row r="1325">
      <c r="C1325" s="92" t="inlineStr">
        <is>
          <t>Details for : R6 serie - Postes Forecast W6</t>
        </is>
      </c>
      <c r="D1325" s="93" t="inlineStr">
        <is>
          <t>Article : Client - Length x Width x Thickness</t>
        </is>
      </c>
      <c r="E1325" s="93" t="inlineStr">
        <is>
          <t>Postes</t>
        </is>
      </c>
      <c r="F1325" s="93" t="inlineStr">
        <is>
          <t>Tonnes</t>
        </is>
      </c>
      <c r="G1325" s="94" t="inlineStr">
        <is>
          <t>Productivity</t>
        </is>
      </c>
    </row>
    <row r="1326">
      <c r="C1326" s="95" t="inlineStr">
        <is>
          <t>Sum Tonnes : 383.92</t>
        </is>
      </c>
      <c r="D1326" s="98" t="inlineStr">
        <is>
          <t>8114594.0:ArcelorMittal FRANCE - 0.0x809.0x1.9</t>
        </is>
      </c>
      <c r="E1326" s="98" t="n">
        <v>0.2</v>
      </c>
      <c r="F1326" s="98" t="n">
        <v>51.47</v>
      </c>
      <c r="G1326" s="99" t="n">
        <v>33.69</v>
      </c>
    </row>
    <row r="1327">
      <c r="C1327" s="95" t="inlineStr">
        <is>
          <t>Sum Postes : 2.61</t>
        </is>
      </c>
      <c r="D1327" s="96" t="inlineStr">
        <is>
          <t>8011922.0:BAOMARC - 0.0x211.2x0.75</t>
        </is>
      </c>
      <c r="E1327" s="96" t="n">
        <v>0.16</v>
      </c>
      <c r="F1327" s="96" t="n">
        <v>12</v>
      </c>
      <c r="G1327" s="97" t="n">
        <v>9.710000000000001</v>
      </c>
    </row>
    <row r="1328">
      <c r="C1328" s="95" t="inlineStr">
        <is>
          <t>Average Productivity : 24.89</t>
        </is>
      </c>
      <c r="D1328" s="96" t="inlineStr">
        <is>
          <t>8011919.0:BAOMARC - 0.0x185.0x1.3</t>
        </is>
      </c>
      <c r="E1328" s="96" t="n">
        <v>0.06</v>
      </c>
      <c r="F1328" s="96" t="n">
        <v>12</v>
      </c>
      <c r="G1328" s="97" t="n">
        <v>26.63</v>
      </c>
    </row>
    <row r="1329">
      <c r="C1329" s="100" t="n"/>
      <c r="D1329" s="96" t="inlineStr">
        <is>
          <t>8012088.0:UNIPRES MAGNETTO CORPORATION - 0.0x707.0x1.8</t>
        </is>
      </c>
      <c r="E1329" s="96" t="n">
        <v>0.04</v>
      </c>
      <c r="F1329" s="96" t="n">
        <v>10</v>
      </c>
      <c r="G1329" s="97" t="n">
        <v>34.13</v>
      </c>
    </row>
    <row r="1330">
      <c r="C1330" s="100" t="n"/>
      <c r="D1330" s="96" t="inlineStr">
        <is>
          <t>8012106.0:UNIPRES MAGNETTO CORPORATION - 0.0x950.0x1.4</t>
        </is>
      </c>
      <c r="E1330" s="96" t="n">
        <v>0.08</v>
      </c>
      <c r="F1330" s="96" t="n">
        <v>14</v>
      </c>
      <c r="G1330" s="97" t="n">
        <v>22.05</v>
      </c>
    </row>
    <row r="1331">
      <c r="C1331" s="100" t="n"/>
      <c r="D1331" s="96" t="inlineStr">
        <is>
          <t>8012107.0:UNIPRES MAGNETTO CORPORATION - 0.0x1054.0x1.6</t>
        </is>
      </c>
      <c r="E1331" s="96" t="n">
        <v>0.09</v>
      </c>
      <c r="F1331" s="96" t="n">
        <v>14</v>
      </c>
      <c r="G1331" s="97" t="n">
        <v>20.17</v>
      </c>
    </row>
    <row r="1332">
      <c r="C1332" s="100" t="n"/>
      <c r="D1332" s="96" t="inlineStr">
        <is>
          <t>8012108.0:UNIPRES MAGNETTO CORPORATION - 0.0x850.0x1.4</t>
        </is>
      </c>
      <c r="E1332" s="96" t="n">
        <v>0.12</v>
      </c>
      <c r="F1332" s="96" t="n">
        <v>14</v>
      </c>
      <c r="G1332" s="97" t="n">
        <v>15.48</v>
      </c>
    </row>
    <row r="1333">
      <c r="C1333" s="100" t="n"/>
      <c r="D1333" s="96" t="inlineStr">
        <is>
          <t>8012243.0:UNIPRES MAGNETTO CORPORATION - 0.0x875.0x1.8</t>
        </is>
      </c>
      <c r="E1333" s="96" t="n">
        <v>0.08</v>
      </c>
      <c r="F1333" s="96" t="n">
        <v>14</v>
      </c>
      <c r="G1333" s="97" t="n">
        <v>24.68</v>
      </c>
    </row>
    <row r="1334">
      <c r="C1334" s="100" t="n"/>
      <c r="D1334" s="96" t="inlineStr">
        <is>
          <t>8012110.0:UNIPRES MAGNETTO CORPORATION - 0.0x1080.0x1.8</t>
        </is>
      </c>
      <c r="E1334" s="96" t="n">
        <v>0.08</v>
      </c>
      <c r="F1334" s="96" t="n">
        <v>14</v>
      </c>
      <c r="G1334" s="97" t="n">
        <v>24.83</v>
      </c>
    </row>
    <row r="1335">
      <c r="C1335" s="100" t="n"/>
      <c r="D1335" s="96" t="inlineStr">
        <is>
          <t>8012111.0:UNIPRES MAGNETTO CORPORATION - 0.0x1243.0x1.0</t>
        </is>
      </c>
      <c r="E1335" s="96" t="n">
        <v>0.1</v>
      </c>
      <c r="F1335" s="96" t="n">
        <v>14</v>
      </c>
      <c r="G1335" s="97" t="n">
        <v>19.4</v>
      </c>
    </row>
    <row r="1336">
      <c r="C1336" s="100" t="n"/>
      <c r="D1336" s="96" t="inlineStr">
        <is>
          <t>8012114.0:UNIPRES MAGNETTO CORPORATION - 0.0x1500.0x1.2</t>
        </is>
      </c>
      <c r="E1336" s="96" t="n">
        <v>0.08</v>
      </c>
      <c r="F1336" s="96" t="n">
        <v>12.5</v>
      </c>
      <c r="G1336" s="97" t="n">
        <v>21.26</v>
      </c>
    </row>
    <row r="1337">
      <c r="C1337" s="100" t="n"/>
      <c r="D1337" s="101" t="inlineStr">
        <is>
          <t>8013920.0:MAGNA LORRAINE - 0.0x450.0x1.3</t>
        </is>
      </c>
      <c r="E1337" s="101" t="n">
        <v>0.01</v>
      </c>
      <c r="F1337" s="101" t="n">
        <v>1</v>
      </c>
      <c r="G1337" s="102" t="n">
        <v>24.71</v>
      </c>
    </row>
    <row r="1338">
      <c r="C1338" s="100" t="n"/>
      <c r="D1338" s="96" t="inlineStr">
        <is>
          <t>8014244.0:SNOP VILLEPINTE - 0.0x207.8x1.15</t>
        </is>
      </c>
      <c r="E1338" s="96" t="n">
        <v>0.07000000000000001</v>
      </c>
      <c r="F1338" s="96" t="n">
        <v>12.4</v>
      </c>
      <c r="G1338" s="97" t="n">
        <v>22.46</v>
      </c>
    </row>
    <row r="1339">
      <c r="C1339" s="100" t="n"/>
      <c r="D1339" s="96" t="inlineStr">
        <is>
          <t>8014336.0:SNOP VILLEPINTE - 0.0x106.8x1.05</t>
        </is>
      </c>
      <c r="E1339" s="96" t="n">
        <v>0.01</v>
      </c>
      <c r="F1339" s="96" t="n">
        <v>1.08</v>
      </c>
      <c r="G1339" s="97" t="n">
        <v>16.72</v>
      </c>
    </row>
    <row r="1340">
      <c r="C1340" s="100" t="n"/>
      <c r="D1340" s="96" t="inlineStr">
        <is>
          <t>8014246.0:SNOP VILLEPINTE - 0.0x65.5x1.5</t>
        </is>
      </c>
      <c r="E1340" s="96" t="n">
        <v>0.02</v>
      </c>
      <c r="F1340" s="96" t="n">
        <v>2.4</v>
      </c>
      <c r="G1340" s="97" t="n">
        <v>16.79</v>
      </c>
    </row>
    <row r="1341">
      <c r="C1341" s="100" t="n"/>
      <c r="D1341" s="96" t="inlineStr">
        <is>
          <t>8014863.0:UNIPRES MAGNETTO CORPORATION - 0.0x1600.0x1.2</t>
        </is>
      </c>
      <c r="E1341" s="96" t="n">
        <v>0.05</v>
      </c>
      <c r="F1341" s="96" t="n">
        <v>10</v>
      </c>
      <c r="G1341" s="97" t="n">
        <v>24.35</v>
      </c>
    </row>
    <row r="1342">
      <c r="C1342" s="100" t="n"/>
      <c r="D1342" s="96" t="inlineStr">
        <is>
          <t>8011899.0:SNOP VILLEPINTE - 0.0x190.0x1.45</t>
        </is>
      </c>
      <c r="E1342" s="96" t="n">
        <v>0.03</v>
      </c>
      <c r="F1342" s="96" t="n">
        <v>2.101</v>
      </c>
      <c r="G1342" s="97" t="n">
        <v>8.699999999999999</v>
      </c>
    </row>
    <row r="1343">
      <c r="C1343" s="100" t="n"/>
      <c r="D1343" s="101" t="inlineStr">
        <is>
          <t>8022350.0:MAGNA LORRAINE - 0.0x675.0x1.25</t>
        </is>
      </c>
      <c r="E1343" s="101" t="n">
        <v>0</v>
      </c>
      <c r="F1343" s="101" t="n">
        <v>1</v>
      </c>
      <c r="G1343" s="102" t="n">
        <v>34.89</v>
      </c>
    </row>
    <row r="1344">
      <c r="C1344" s="100" t="n"/>
      <c r="D1344" s="96" t="inlineStr">
        <is>
          <t>8022982.0:BAOMARC - 0.0x204.5x1.1</t>
        </is>
      </c>
      <c r="E1344" s="96" t="n">
        <v>0.12</v>
      </c>
      <c r="F1344" s="96" t="n">
        <v>24</v>
      </c>
      <c r="G1344" s="97" t="n">
        <v>25.92</v>
      </c>
    </row>
    <row r="1345">
      <c r="C1345" s="100" t="n"/>
      <c r="D1345" s="96" t="inlineStr">
        <is>
          <t>8023002.0:BAOMARC - 0.0x205.8x1.2</t>
        </is>
      </c>
      <c r="E1345" s="96" t="n">
        <v>0.17</v>
      </c>
      <c r="F1345" s="96" t="n">
        <v>25</v>
      </c>
      <c r="G1345" s="97" t="n">
        <v>20.1</v>
      </c>
    </row>
    <row r="1346">
      <c r="C1346" s="100" t="n"/>
      <c r="D1346" s="96" t="inlineStr">
        <is>
          <t>8014842.0:MAGNA LORRAINE - 0.0x178.0x1.35</t>
        </is>
      </c>
      <c r="E1346" s="96" t="n">
        <v>0.07000000000000001</v>
      </c>
      <c r="F1346" s="96" t="n">
        <v>11</v>
      </c>
      <c r="G1346" s="97" t="n">
        <v>21.9</v>
      </c>
    </row>
    <row r="1347">
      <c r="C1347" s="100" t="n"/>
      <c r="D1347" s="96" t="inlineStr">
        <is>
          <t>8012371.0:MAGNA LORRAINE - 0.0x283.0x1.05</t>
        </is>
      </c>
      <c r="E1347" s="96" t="n">
        <v>0.05</v>
      </c>
      <c r="F1347" s="96" t="n">
        <v>8</v>
      </c>
      <c r="G1347" s="97" t="n">
        <v>22.67</v>
      </c>
    </row>
    <row r="1348">
      <c r="C1348" s="100" t="n"/>
      <c r="D1348" s="96" t="inlineStr">
        <is>
          <t>8058635.0:MAGNA LORRAINE - 0.0x690.0x1.15</t>
        </is>
      </c>
      <c r="E1348" s="96" t="n">
        <v>0.07000000000000001</v>
      </c>
      <c r="F1348" s="96" t="n">
        <v>16</v>
      </c>
      <c r="G1348" s="97" t="n">
        <v>31.34</v>
      </c>
    </row>
    <row r="1349">
      <c r="C1349" s="100" t="n"/>
      <c r="D1349" s="101" t="inlineStr">
        <is>
          <t>8058636.0:MAGNA LORRAINE - 0.0x510.0x0.6</t>
        </is>
      </c>
      <c r="E1349" s="101" t="n">
        <v>0.02</v>
      </c>
      <c r="F1349" s="101" t="n">
        <v>1</v>
      </c>
      <c r="G1349" s="102" t="n">
        <v>6.29</v>
      </c>
    </row>
    <row r="1350">
      <c r="C1350" s="100" t="n"/>
      <c r="D1350" s="96" t="inlineStr">
        <is>
          <t>8068165.0:MAGNA LORRAINE - 0.0x815.0x0.6</t>
        </is>
      </c>
      <c r="E1350" s="96" t="n">
        <v>0.02</v>
      </c>
      <c r="F1350" s="96" t="n">
        <v>2</v>
      </c>
      <c r="G1350" s="97" t="n">
        <v>13.09</v>
      </c>
    </row>
    <row r="1351">
      <c r="C1351" s="100" t="n"/>
      <c r="D1351" s="96" t="inlineStr">
        <is>
          <t>8055856.0:NPL SASU - 0.0x130.0x2.0</t>
        </is>
      </c>
      <c r="E1351" s="96" t="n">
        <v>0.07000000000000001</v>
      </c>
      <c r="F1351" s="96" t="n">
        <v>5.966</v>
      </c>
      <c r="G1351" s="97" t="n">
        <v>10.7</v>
      </c>
    </row>
    <row r="1352">
      <c r="C1352" s="100" t="n"/>
      <c r="D1352" s="96" t="inlineStr">
        <is>
          <t>8056282.0:NPL SASU - 0.0x514.0x2.5</t>
        </is>
      </c>
      <c r="E1352" s="96" t="n">
        <v>0.03</v>
      </c>
      <c r="F1352" s="96" t="n">
        <v>10</v>
      </c>
      <c r="G1352" s="97" t="n">
        <v>50.84</v>
      </c>
    </row>
    <row r="1353">
      <c r="C1353" s="100" t="n"/>
      <c r="D1353" s="96" t="inlineStr">
        <is>
          <t>8083083.0:RENAULT S.A.S - 0.0x725.0x0.65</t>
        </is>
      </c>
      <c r="E1353" s="96" t="n">
        <v>0.05</v>
      </c>
      <c r="F1353" s="96" t="n">
        <v>8</v>
      </c>
      <c r="G1353" s="97" t="n">
        <v>19.57</v>
      </c>
    </row>
    <row r="1354">
      <c r="C1354" s="100" t="n"/>
      <c r="D1354" s="96" t="inlineStr">
        <is>
          <t>8086194.0:MA POLSKA - 0.0x184.3x1.6</t>
        </is>
      </c>
      <c r="E1354" s="96" t="n">
        <v>0.32</v>
      </c>
      <c r="F1354" s="96" t="n">
        <v>20</v>
      </c>
      <c r="G1354" s="97" t="n">
        <v>8.43</v>
      </c>
    </row>
    <row r="1355">
      <c r="C1355" s="100" t="n"/>
      <c r="D1355" s="96" t="inlineStr">
        <is>
          <t>8086196.0:MA POLSKA - 0.0x227.5x1.6</t>
        </is>
      </c>
      <c r="E1355" s="96" t="n">
        <v>0.16</v>
      </c>
      <c r="F1355" s="96" t="n">
        <v>20</v>
      </c>
      <c r="G1355" s="97" t="n">
        <v>16.98</v>
      </c>
    </row>
    <row r="1356">
      <c r="C1356" s="100" t="n"/>
      <c r="D1356" s="96" t="inlineStr">
        <is>
          <t>8088356.0:RENAULT S.A.S - 0.0x390.0x0.65</t>
        </is>
      </c>
      <c r="E1356" s="96" t="n">
        <v>0.1</v>
      </c>
      <c r="F1356" s="96" t="n">
        <v>6</v>
      </c>
      <c r="G1356" s="97" t="n">
        <v>7.78</v>
      </c>
    </row>
    <row r="1357">
      <c r="C1357" s="100" t="n"/>
      <c r="D1357" s="96" t="inlineStr">
        <is>
          <t>8091293.0:MAGNA LORRAINE - 0.0x710.0x0.95</t>
        </is>
      </c>
      <c r="E1357" s="96" t="n">
        <v>0.02</v>
      </c>
      <c r="F1357" s="96" t="n">
        <v>2</v>
      </c>
      <c r="G1357" s="97" t="n">
        <v>12.92</v>
      </c>
    </row>
    <row r="1358">
      <c r="C1358" s="100" t="n"/>
      <c r="D1358" s="96" t="inlineStr">
        <is>
          <t>8108338.0:ARCELORMITTAL TB LORRAINE SAS - 0.0x419.0x1.4</t>
        </is>
      </c>
      <c r="E1358" s="96" t="n">
        <v>0.05</v>
      </c>
      <c r="F1358" s="96" t="n">
        <v>12</v>
      </c>
      <c r="G1358" s="97" t="n">
        <v>31.38</v>
      </c>
    </row>
    <row r="1359">
      <c r="C1359" s="103" t="n"/>
      <c r="D1359" s="109" t="inlineStr">
        <is>
          <t>8040462.0:SAREL APPAREILLAGE ELECTRIQUE - 0.0x597.0x2.5</t>
        </is>
      </c>
      <c r="E1359" s="109" t="n">
        <v>0.01</v>
      </c>
      <c r="F1359" s="109" t="n">
        <v>1</v>
      </c>
      <c r="G1359" s="110" t="n">
        <v>11.47</v>
      </c>
    </row>
    <row r="1363">
      <c r="C1363" s="92" t="inlineStr">
        <is>
          <t>Details for : R6 serie - Postes Forecast W7</t>
        </is>
      </c>
      <c r="D1363" s="93" t="inlineStr">
        <is>
          <t>Article : Client - Length x Width x Thickness</t>
        </is>
      </c>
      <c r="E1363" s="93" t="inlineStr">
        <is>
          <t>Postes</t>
        </is>
      </c>
      <c r="F1363" s="93" t="inlineStr">
        <is>
          <t>Tonnes</t>
        </is>
      </c>
      <c r="G1363" s="94" t="inlineStr">
        <is>
          <t>Productivity</t>
        </is>
      </c>
    </row>
    <row r="1364">
      <c r="C1364" s="95" t="inlineStr">
        <is>
          <t>Sum Tonnes : 322.07</t>
        </is>
      </c>
      <c r="D1364" s="96" t="inlineStr">
        <is>
          <t>8011972.0:TRICO BELGIUM SA - 0.0x270.0x2.0</t>
        </is>
      </c>
      <c r="E1364" s="96" t="n">
        <v>0.25</v>
      </c>
      <c r="F1364" s="96" t="n">
        <v>25</v>
      </c>
      <c r="G1364" s="97" t="n">
        <v>13.19</v>
      </c>
    </row>
    <row r="1365">
      <c r="C1365" s="95" t="inlineStr">
        <is>
          <t>Sum Postes : 2.0</t>
        </is>
      </c>
      <c r="D1365" s="96" t="inlineStr">
        <is>
          <t>8013865.0:GESTAMP NOURY S.A. - 0.0x280.4x1.05</t>
        </is>
      </c>
      <c r="E1365" s="96" t="n">
        <v>0.25</v>
      </c>
      <c r="F1365" s="96" t="n">
        <v>42</v>
      </c>
      <c r="G1365" s="97" t="n">
        <v>22.58</v>
      </c>
    </row>
    <row r="1366">
      <c r="C1366" s="95" t="inlineStr">
        <is>
          <t>Average Productivity : 24.89</t>
        </is>
      </c>
      <c r="D1366" s="96" t="inlineStr">
        <is>
          <t>8012089.0:UNIPRES MAGNETTO CORPORATION - 0.0x663.0x1.8</t>
        </is>
      </c>
      <c r="E1366" s="96" t="n">
        <v>0.07000000000000001</v>
      </c>
      <c r="F1366" s="96" t="n">
        <v>14</v>
      </c>
      <c r="G1366" s="97" t="n">
        <v>27.91</v>
      </c>
    </row>
    <row r="1367">
      <c r="C1367" s="100" t="n"/>
      <c r="D1367" s="96" t="inlineStr">
        <is>
          <t>8012107.0:UNIPRES MAGNETTO CORPORATION - 0.0x1054.0x1.6</t>
        </is>
      </c>
      <c r="E1367" s="96" t="n">
        <v>0.09</v>
      </c>
      <c r="F1367" s="96" t="n">
        <v>14</v>
      </c>
      <c r="G1367" s="97" t="n">
        <v>20.17</v>
      </c>
    </row>
    <row r="1368">
      <c r="C1368" s="100" t="n"/>
      <c r="D1368" s="96" t="inlineStr">
        <is>
          <t>8012110.0:UNIPRES MAGNETTO CORPORATION - 0.0x1080.0x1.8</t>
        </is>
      </c>
      <c r="E1368" s="96" t="n">
        <v>0.08</v>
      </c>
      <c r="F1368" s="96" t="n">
        <v>14</v>
      </c>
      <c r="G1368" s="97" t="n">
        <v>24.83</v>
      </c>
    </row>
    <row r="1369">
      <c r="C1369" s="100" t="n"/>
      <c r="D1369" s="96" t="inlineStr">
        <is>
          <t>8012112.0:UNIPRES MAGNETTO CORPORATION - 0.0x969.0x1.2</t>
        </is>
      </c>
      <c r="E1369" s="96" t="n">
        <v>0.08</v>
      </c>
      <c r="F1369" s="96" t="n">
        <v>14</v>
      </c>
      <c r="G1369" s="97" t="n">
        <v>23.81</v>
      </c>
    </row>
    <row r="1370">
      <c r="C1370" s="100" t="n"/>
      <c r="D1370" s="98" t="inlineStr">
        <is>
          <t>8013650.0:EUROSTAMP S.A - 0.0x480.0x2.2</t>
        </is>
      </c>
      <c r="E1370" s="98" t="n">
        <v>0.2</v>
      </c>
      <c r="F1370" s="98" t="n">
        <v>54</v>
      </c>
      <c r="G1370" s="99" t="n">
        <v>36.24</v>
      </c>
    </row>
    <row r="1371">
      <c r="C1371" s="100" t="n"/>
      <c r="D1371" s="96" t="inlineStr">
        <is>
          <t>8013920.0:MAGNA LORRAINE - 0.0x450.0x1.3</t>
        </is>
      </c>
      <c r="E1371" s="96" t="n">
        <v>0.01</v>
      </c>
      <c r="F1371" s="96" t="n">
        <v>1</v>
      </c>
      <c r="G1371" s="97" t="n">
        <v>24.71</v>
      </c>
    </row>
    <row r="1372">
      <c r="C1372" s="100" t="n"/>
      <c r="D1372" s="96" t="inlineStr">
        <is>
          <t>8014244.0:SNOP VILLEPINTE - 0.0x207.8x1.15</t>
        </is>
      </c>
      <c r="E1372" s="96" t="n">
        <v>0.07000000000000001</v>
      </c>
      <c r="F1372" s="96" t="n">
        <v>12.4</v>
      </c>
      <c r="G1372" s="97" t="n">
        <v>22.46</v>
      </c>
    </row>
    <row r="1373">
      <c r="C1373" s="100" t="n"/>
      <c r="D1373" s="96" t="inlineStr">
        <is>
          <t>8014336.0:SNOP VILLEPINTE - 0.0x106.8x1.05</t>
        </is>
      </c>
      <c r="E1373" s="96" t="n">
        <v>0.01</v>
      </c>
      <c r="F1373" s="96" t="n">
        <v>1.08</v>
      </c>
      <c r="G1373" s="97" t="n">
        <v>16.72</v>
      </c>
    </row>
    <row r="1374">
      <c r="C1374" s="100" t="n"/>
      <c r="D1374" s="96" t="inlineStr">
        <is>
          <t>8014246.0:SNOP VILLEPINTE - 0.0x65.5x1.5</t>
        </is>
      </c>
      <c r="E1374" s="96" t="n">
        <v>0</v>
      </c>
      <c r="F1374" s="96" t="n">
        <v>0.4</v>
      </c>
      <c r="G1374" s="97" t="n">
        <v>16.79</v>
      </c>
    </row>
    <row r="1375">
      <c r="C1375" s="100" t="n"/>
      <c r="D1375" s="96" t="inlineStr">
        <is>
          <t>8012383.0:WAGON AUTOMOTIVE - 0.0x650.0x0.75</t>
        </is>
      </c>
      <c r="E1375" s="96" t="n">
        <v>0.13</v>
      </c>
      <c r="F1375" s="96" t="n">
        <v>20</v>
      </c>
      <c r="G1375" s="97" t="n">
        <v>20.66</v>
      </c>
    </row>
    <row r="1376">
      <c r="C1376" s="100" t="n"/>
      <c r="D1376" s="96" t="inlineStr">
        <is>
          <t>8013889.0:GESTAMP NOURY S.A. - 0.0x226.5x1.6</t>
        </is>
      </c>
      <c r="E1376" s="96" t="n">
        <v>0.1</v>
      </c>
      <c r="F1376" s="96" t="n">
        <v>21</v>
      </c>
      <c r="G1376" s="97" t="n">
        <v>27.7</v>
      </c>
    </row>
    <row r="1377">
      <c r="C1377" s="100" t="n"/>
      <c r="D1377" s="96" t="inlineStr">
        <is>
          <t>8015927.0:TRICO BELGIUM SA - 0.0x332.0x2.0</t>
        </is>
      </c>
      <c r="E1377" s="96" t="n">
        <v>0.21</v>
      </c>
      <c r="F1377" s="96" t="n">
        <v>25</v>
      </c>
      <c r="G1377" s="97" t="n">
        <v>15.71</v>
      </c>
    </row>
    <row r="1378">
      <c r="C1378" s="100" t="n"/>
      <c r="D1378" s="101" t="inlineStr">
        <is>
          <t>8011899.0:SNOP VILLEPINTE - 0.0x190.0x1.45</t>
        </is>
      </c>
      <c r="E1378" s="101" t="n">
        <v>0</v>
      </c>
      <c r="F1378" s="101" t="n">
        <v>0.191</v>
      </c>
      <c r="G1378" s="102" t="n">
        <v>8.699999999999999</v>
      </c>
    </row>
    <row r="1379">
      <c r="C1379" s="100" t="n"/>
      <c r="D1379" s="96" t="inlineStr">
        <is>
          <t>8012090.0:UNIPRES MAGNETTO CORPORATION - 0.0x903.0x1.4</t>
        </is>
      </c>
      <c r="E1379" s="96" t="n">
        <v>0.09</v>
      </c>
      <c r="F1379" s="96" t="n">
        <v>14</v>
      </c>
      <c r="G1379" s="97" t="n">
        <v>21.71</v>
      </c>
    </row>
    <row r="1380">
      <c r="C1380" s="100" t="n"/>
      <c r="D1380" s="96" t="inlineStr">
        <is>
          <t>8022350.0:MAGNA LORRAINE - 0.0x675.0x1.25</t>
        </is>
      </c>
      <c r="E1380" s="96" t="n">
        <v>0</v>
      </c>
      <c r="F1380" s="96" t="n">
        <v>1</v>
      </c>
      <c r="G1380" s="97" t="n">
        <v>34.89</v>
      </c>
    </row>
    <row r="1381">
      <c r="C1381" s="100" t="n"/>
      <c r="D1381" s="96" t="inlineStr">
        <is>
          <t>8022750.0:ARCELORMITTAL TB LORRAINE SAS - 0.0x521.0x1.6</t>
        </is>
      </c>
      <c r="E1381" s="96" t="n">
        <v>0.13</v>
      </c>
      <c r="F1381" s="96" t="n">
        <v>20</v>
      </c>
      <c r="G1381" s="97" t="n">
        <v>21.12</v>
      </c>
    </row>
    <row r="1382">
      <c r="C1382" s="100" t="n"/>
      <c r="D1382" s="96" t="inlineStr">
        <is>
          <t>8014842.0:MAGNA LORRAINE - 0.0x178.0x1.35</t>
        </is>
      </c>
      <c r="E1382" s="96" t="n">
        <v>0.04</v>
      </c>
      <c r="F1382" s="96" t="n">
        <v>6</v>
      </c>
      <c r="G1382" s="97" t="n">
        <v>21.9</v>
      </c>
    </row>
    <row r="1383">
      <c r="C1383" s="100" t="n"/>
      <c r="D1383" s="96" t="inlineStr">
        <is>
          <t>8012371.0:MAGNA LORRAINE - 0.0x283.0x1.05</t>
        </is>
      </c>
      <c r="E1383" s="96" t="n">
        <v>0.05</v>
      </c>
      <c r="F1383" s="96" t="n">
        <v>8</v>
      </c>
      <c r="G1383" s="97" t="n">
        <v>22.67</v>
      </c>
    </row>
    <row r="1384">
      <c r="C1384" s="100" t="n"/>
      <c r="D1384" s="96" t="inlineStr">
        <is>
          <t>8058635.0:MAGNA LORRAINE - 0.0x690.0x1.15</t>
        </is>
      </c>
      <c r="E1384" s="96" t="n">
        <v>0.03</v>
      </c>
      <c r="F1384" s="96" t="n">
        <v>6</v>
      </c>
      <c r="G1384" s="97" t="n">
        <v>31.34</v>
      </c>
    </row>
    <row r="1385">
      <c r="C1385" s="100" t="n"/>
      <c r="D1385" s="96" t="inlineStr">
        <is>
          <t>8058636.0:MAGNA LORRAINE - 0.0x510.0x0.6</t>
        </is>
      </c>
      <c r="E1385" s="96" t="n">
        <v>0.02</v>
      </c>
      <c r="F1385" s="96" t="n">
        <v>1</v>
      </c>
      <c r="G1385" s="97" t="n">
        <v>6.29</v>
      </c>
    </row>
    <row r="1386">
      <c r="C1386" s="100" t="n"/>
      <c r="D1386" s="96" t="inlineStr">
        <is>
          <t>8068165.0:MAGNA LORRAINE - 0.0x815.0x0.6</t>
        </is>
      </c>
      <c r="E1386" s="96" t="n">
        <v>0.02</v>
      </c>
      <c r="F1386" s="96" t="n">
        <v>2</v>
      </c>
      <c r="G1386" s="97" t="n">
        <v>13.09</v>
      </c>
    </row>
    <row r="1387">
      <c r="C1387" s="100" t="n"/>
      <c r="D1387" s="96" t="inlineStr">
        <is>
          <t>8055856.0:NPL SASU - 0.0x130.0x2.0</t>
        </is>
      </c>
      <c r="E1387" s="96" t="n">
        <v>0.04</v>
      </c>
      <c r="F1387" s="96" t="n">
        <v>2.998</v>
      </c>
      <c r="G1387" s="97" t="n">
        <v>10.7</v>
      </c>
    </row>
    <row r="1388">
      <c r="C1388" s="100" t="n"/>
      <c r="D1388" s="96" t="inlineStr">
        <is>
          <t>8091293.0:MAGNA LORRAINE - 0.0x710.0x0.95</t>
        </is>
      </c>
      <c r="E1388" s="96" t="n">
        <v>0.02</v>
      </c>
      <c r="F1388" s="96" t="n">
        <v>2</v>
      </c>
      <c r="G1388" s="97" t="n">
        <v>12.92</v>
      </c>
    </row>
    <row r="1389">
      <c r="C1389" s="103" t="n"/>
      <c r="D1389" s="104" t="inlineStr">
        <is>
          <t>8040462.0:SAREL APPAREILLAGE ELECTRIQUE - 0.0x597.0x2.5</t>
        </is>
      </c>
      <c r="E1389" s="104" t="n">
        <v>0.01</v>
      </c>
      <c r="F1389" s="104" t="n">
        <v>1</v>
      </c>
      <c r="G1389" s="105" t="n">
        <v>11.47</v>
      </c>
    </row>
    <row r="1393">
      <c r="C1393" s="92" t="inlineStr">
        <is>
          <t>Details for : R6 serie - Postes Forecast W8</t>
        </is>
      </c>
      <c r="D1393" s="93" t="inlineStr">
        <is>
          <t>Article : Client - Length x Width x Thickness</t>
        </is>
      </c>
      <c r="E1393" s="93" t="inlineStr">
        <is>
          <t>Postes</t>
        </is>
      </c>
      <c r="F1393" s="93" t="inlineStr">
        <is>
          <t>Tonnes</t>
        </is>
      </c>
      <c r="G1393" s="94" t="inlineStr">
        <is>
          <t>Productivity</t>
        </is>
      </c>
    </row>
    <row r="1394">
      <c r="C1394" s="95" t="inlineStr">
        <is>
          <t>Sum Tonnes : 335.57</t>
        </is>
      </c>
      <c r="D1394" s="96" t="inlineStr">
        <is>
          <t>8012074.0:GESTAMP NOURY S.A. - 0.0x912.0x1.2</t>
        </is>
      </c>
      <c r="E1394" s="96" t="n">
        <v>0.15</v>
      </c>
      <c r="F1394" s="96" t="n">
        <v>15</v>
      </c>
      <c r="G1394" s="97" t="n">
        <v>13.18</v>
      </c>
    </row>
    <row r="1395">
      <c r="C1395" s="95" t="inlineStr">
        <is>
          <t>Sum Postes : 2.01</t>
        </is>
      </c>
      <c r="D1395" s="96" t="inlineStr">
        <is>
          <t>8012088.0:UNIPRES MAGNETTO CORPORATION - 0.0x707.0x1.8</t>
        </is>
      </c>
      <c r="E1395" s="96" t="n">
        <v>0.04</v>
      </c>
      <c r="F1395" s="96" t="n">
        <v>10</v>
      </c>
      <c r="G1395" s="97" t="n">
        <v>34.13</v>
      </c>
    </row>
    <row r="1396">
      <c r="C1396" s="95" t="inlineStr">
        <is>
          <t>Average Productivity : 24.89</t>
        </is>
      </c>
      <c r="D1396" s="96" t="inlineStr">
        <is>
          <t>8012106.0:UNIPRES MAGNETTO CORPORATION - 0.0x950.0x1.4</t>
        </is>
      </c>
      <c r="E1396" s="96" t="n">
        <v>0.08</v>
      </c>
      <c r="F1396" s="96" t="n">
        <v>14</v>
      </c>
      <c r="G1396" s="97" t="n">
        <v>22.05</v>
      </c>
    </row>
    <row r="1397">
      <c r="C1397" s="100" t="n"/>
      <c r="D1397" s="96" t="inlineStr">
        <is>
          <t>8012107.0:UNIPRES MAGNETTO CORPORATION - 0.0x1054.0x1.6</t>
        </is>
      </c>
      <c r="E1397" s="96" t="n">
        <v>0.09</v>
      </c>
      <c r="F1397" s="96" t="n">
        <v>14</v>
      </c>
      <c r="G1397" s="97" t="n">
        <v>20.17</v>
      </c>
    </row>
    <row r="1398">
      <c r="C1398" s="100" t="n"/>
      <c r="D1398" s="96" t="inlineStr">
        <is>
          <t>8012108.0:UNIPRES MAGNETTO CORPORATION - 0.0x850.0x1.4</t>
        </is>
      </c>
      <c r="E1398" s="96" t="n">
        <v>0.12</v>
      </c>
      <c r="F1398" s="96" t="n">
        <v>14</v>
      </c>
      <c r="G1398" s="97" t="n">
        <v>15.48</v>
      </c>
    </row>
    <row r="1399">
      <c r="C1399" s="100" t="n"/>
      <c r="D1399" s="96" t="inlineStr">
        <is>
          <t>8012109.0:UNIPRES MAGNETTO CORPORATION - 0.0x742.0x1.8</t>
        </is>
      </c>
      <c r="E1399" s="96" t="n">
        <v>0.03</v>
      </c>
      <c r="F1399" s="96" t="n">
        <v>10</v>
      </c>
      <c r="G1399" s="97" t="n">
        <v>38.21</v>
      </c>
    </row>
    <row r="1400">
      <c r="C1400" s="100" t="n"/>
      <c r="D1400" s="96" t="inlineStr">
        <is>
          <t>8012110.0:UNIPRES MAGNETTO CORPORATION - 0.0x1080.0x1.8</t>
        </is>
      </c>
      <c r="E1400" s="96" t="n">
        <v>0.08</v>
      </c>
      <c r="F1400" s="96" t="n">
        <v>14</v>
      </c>
      <c r="G1400" s="97" t="n">
        <v>24.83</v>
      </c>
    </row>
    <row r="1401">
      <c r="C1401" s="100" t="n"/>
      <c r="D1401" s="96" t="inlineStr">
        <is>
          <t>8012114.0:UNIPRES MAGNETTO CORPORATION - 0.0x1500.0x1.2</t>
        </is>
      </c>
      <c r="E1401" s="96" t="n">
        <v>0.08</v>
      </c>
      <c r="F1401" s="96" t="n">
        <v>12.5</v>
      </c>
      <c r="G1401" s="97" t="n">
        <v>21.26</v>
      </c>
    </row>
    <row r="1402">
      <c r="C1402" s="100" t="n"/>
      <c r="D1402" s="96" t="inlineStr">
        <is>
          <t>8011893.0:EUROSTAMP S.A - 0.0x790.0x0.65</t>
        </is>
      </c>
      <c r="E1402" s="96" t="n">
        <v>0.13</v>
      </c>
      <c r="F1402" s="96" t="n">
        <v>12</v>
      </c>
      <c r="G1402" s="97" t="n">
        <v>12.23</v>
      </c>
    </row>
    <row r="1403">
      <c r="C1403" s="100" t="n"/>
      <c r="D1403" s="98" t="inlineStr">
        <is>
          <t>8013650.0:EUROSTAMP S.A - 0.0x480.0x2.2</t>
        </is>
      </c>
      <c r="E1403" s="98" t="n">
        <v>0.2</v>
      </c>
      <c r="F1403" s="98" t="n">
        <v>54</v>
      </c>
      <c r="G1403" s="99" t="n">
        <v>36.24</v>
      </c>
    </row>
    <row r="1404">
      <c r="C1404" s="100" t="n"/>
      <c r="D1404" s="96" t="inlineStr">
        <is>
          <t>8013920.0:MAGNA LORRAINE - 0.0x450.0x1.3</t>
        </is>
      </c>
      <c r="E1404" s="96" t="n">
        <v>0.01</v>
      </c>
      <c r="F1404" s="96" t="n">
        <v>1</v>
      </c>
      <c r="G1404" s="97" t="n">
        <v>24.71</v>
      </c>
    </row>
    <row r="1405">
      <c r="C1405" s="100" t="n"/>
      <c r="D1405" s="96" t="inlineStr">
        <is>
          <t>8014244.0:SNOP VILLEPINTE - 0.0x207.8x1.15</t>
        </is>
      </c>
      <c r="E1405" s="96" t="n">
        <v>0.07000000000000001</v>
      </c>
      <c r="F1405" s="96" t="n">
        <v>12.4</v>
      </c>
      <c r="G1405" s="97" t="n">
        <v>22.46</v>
      </c>
    </row>
    <row r="1406">
      <c r="C1406" s="100" t="n"/>
      <c r="D1406" s="96" t="inlineStr">
        <is>
          <t>8014336.0:SNOP VILLEPINTE - 0.0x106.8x1.05</t>
        </is>
      </c>
      <c r="E1406" s="96" t="n">
        <v>0.01</v>
      </c>
      <c r="F1406" s="96" t="n">
        <v>1.08</v>
      </c>
      <c r="G1406" s="97" t="n">
        <v>16.72</v>
      </c>
    </row>
    <row r="1407">
      <c r="C1407" s="100" t="n"/>
      <c r="D1407" s="96" t="inlineStr">
        <is>
          <t>8014246.0:SNOP VILLEPINTE - 0.0x65.5x1.5</t>
        </is>
      </c>
      <c r="E1407" s="96" t="n">
        <v>0</v>
      </c>
      <c r="F1407" s="96" t="n">
        <v>0.4</v>
      </c>
      <c r="G1407" s="97" t="n">
        <v>16.79</v>
      </c>
    </row>
    <row r="1408">
      <c r="C1408" s="100" t="n"/>
      <c r="D1408" s="96" t="inlineStr">
        <is>
          <t>8013889.0:GESTAMP NOURY S.A. - 0.0x226.5x1.6</t>
        </is>
      </c>
      <c r="E1408" s="96" t="n">
        <v>0.07000000000000001</v>
      </c>
      <c r="F1408" s="96" t="n">
        <v>15</v>
      </c>
      <c r="G1408" s="97" t="n">
        <v>27.7</v>
      </c>
    </row>
    <row r="1409">
      <c r="C1409" s="100" t="n"/>
      <c r="D1409" s="96" t="inlineStr">
        <is>
          <t>8014863.0:UNIPRES MAGNETTO CORPORATION - 0.0x1600.0x1.2</t>
        </is>
      </c>
      <c r="E1409" s="96" t="n">
        <v>0.05</v>
      </c>
      <c r="F1409" s="96" t="n">
        <v>10</v>
      </c>
      <c r="G1409" s="97" t="n">
        <v>24.35</v>
      </c>
    </row>
    <row r="1410">
      <c r="C1410" s="100" t="n"/>
      <c r="D1410" s="96" t="inlineStr">
        <is>
          <t>8014734.0:UNIPRES MAGNETTO CORPORATION - 0.0x755.0x2.2</t>
        </is>
      </c>
      <c r="E1410" s="96" t="n">
        <v>0.08</v>
      </c>
      <c r="F1410" s="96" t="n">
        <v>10</v>
      </c>
      <c r="G1410" s="97" t="n">
        <v>15.94</v>
      </c>
    </row>
    <row r="1411">
      <c r="C1411" s="100" t="n"/>
      <c r="D1411" s="101" t="inlineStr">
        <is>
          <t>8011899.0:SNOP VILLEPINTE - 0.0x190.0x1.45</t>
        </is>
      </c>
      <c r="E1411" s="101" t="n">
        <v>0</v>
      </c>
      <c r="F1411" s="101" t="n">
        <v>0.191</v>
      </c>
      <c r="G1411" s="102" t="n">
        <v>8.699999999999999</v>
      </c>
    </row>
    <row r="1412">
      <c r="C1412" s="100" t="n"/>
      <c r="D1412" s="96" t="inlineStr">
        <is>
          <t>8022350.0:MAGNA LORRAINE - 0.0x675.0x1.25</t>
        </is>
      </c>
      <c r="E1412" s="96" t="n">
        <v>0</v>
      </c>
      <c r="F1412" s="96" t="n">
        <v>1</v>
      </c>
      <c r="G1412" s="97" t="n">
        <v>34.89</v>
      </c>
    </row>
    <row r="1413">
      <c r="C1413" s="100" t="n"/>
      <c r="D1413" s="96" t="inlineStr">
        <is>
          <t>8022953.0:BAOMARC - 0.0x330.3x1.8</t>
        </is>
      </c>
      <c r="E1413" s="96" t="n">
        <v>0.23</v>
      </c>
      <c r="F1413" s="96" t="n">
        <v>50</v>
      </c>
      <c r="G1413" s="97" t="n">
        <v>28.42</v>
      </c>
    </row>
    <row r="1414">
      <c r="C1414" s="100" t="n"/>
      <c r="D1414" s="96" t="inlineStr">
        <is>
          <t>8023002.0:BAOMARC - 0.0x205.8x1.2</t>
        </is>
      </c>
      <c r="E1414" s="96" t="n">
        <v>0.17</v>
      </c>
      <c r="F1414" s="96" t="n">
        <v>25</v>
      </c>
      <c r="G1414" s="97" t="n">
        <v>20.1</v>
      </c>
    </row>
    <row r="1415">
      <c r="C1415" s="100" t="n"/>
      <c r="D1415" s="96" t="inlineStr">
        <is>
          <t>8014842.0:MAGNA LORRAINE - 0.0x178.0x1.35</t>
        </is>
      </c>
      <c r="E1415" s="96" t="n">
        <v>0.04</v>
      </c>
      <c r="F1415" s="96" t="n">
        <v>6</v>
      </c>
      <c r="G1415" s="97" t="n">
        <v>21.9</v>
      </c>
    </row>
    <row r="1416">
      <c r="C1416" s="100" t="n"/>
      <c r="D1416" s="96" t="inlineStr">
        <is>
          <t>8012371.0:MAGNA LORRAINE - 0.0x283.0x1.05</t>
        </is>
      </c>
      <c r="E1416" s="96" t="n">
        <v>0.05</v>
      </c>
      <c r="F1416" s="96" t="n">
        <v>8</v>
      </c>
      <c r="G1416" s="97" t="n">
        <v>22.67</v>
      </c>
    </row>
    <row r="1417">
      <c r="C1417" s="100" t="n"/>
      <c r="D1417" s="96" t="inlineStr">
        <is>
          <t>8058635.0:MAGNA LORRAINE - 0.0x690.0x1.15</t>
        </is>
      </c>
      <c r="E1417" s="96" t="n">
        <v>0.03</v>
      </c>
      <c r="F1417" s="96" t="n">
        <v>6</v>
      </c>
      <c r="G1417" s="97" t="n">
        <v>31.34</v>
      </c>
    </row>
    <row r="1418">
      <c r="C1418" s="100" t="n"/>
      <c r="D1418" s="96" t="inlineStr">
        <is>
          <t>8058636.0:MAGNA LORRAINE - 0.0x510.0x0.6</t>
        </is>
      </c>
      <c r="E1418" s="96" t="n">
        <v>0.02</v>
      </c>
      <c r="F1418" s="96" t="n">
        <v>1</v>
      </c>
      <c r="G1418" s="97" t="n">
        <v>6.29</v>
      </c>
    </row>
    <row r="1419">
      <c r="C1419" s="100" t="n"/>
      <c r="D1419" s="96" t="inlineStr">
        <is>
          <t>8068165.0:MAGNA LORRAINE - 0.0x815.0x0.6</t>
        </is>
      </c>
      <c r="E1419" s="96" t="n">
        <v>0.02</v>
      </c>
      <c r="F1419" s="96" t="n">
        <v>2</v>
      </c>
      <c r="G1419" s="97" t="n">
        <v>13.09</v>
      </c>
    </row>
    <row r="1420">
      <c r="C1420" s="100" t="n"/>
      <c r="D1420" s="96" t="inlineStr">
        <is>
          <t>8083083.0:RENAULT S.A.S - 0.0x725.0x0.65</t>
        </is>
      </c>
      <c r="E1420" s="96" t="n">
        <v>0.05</v>
      </c>
      <c r="F1420" s="96" t="n">
        <v>8</v>
      </c>
      <c r="G1420" s="97" t="n">
        <v>19.57</v>
      </c>
    </row>
    <row r="1421">
      <c r="C1421" s="100" t="n"/>
      <c r="D1421" s="96" t="inlineStr">
        <is>
          <t>8088347.0:RENAULT S.A.S - 0.0x505.0x2.0</t>
        </is>
      </c>
      <c r="E1421" s="96" t="n">
        <v>0.08</v>
      </c>
      <c r="F1421" s="96" t="n">
        <v>6</v>
      </c>
      <c r="G1421" s="97" t="n">
        <v>9.6</v>
      </c>
    </row>
    <row r="1422">
      <c r="C1422" s="100" t="n"/>
      <c r="D1422" s="96" t="inlineStr">
        <is>
          <t>8091293.0:MAGNA LORRAINE - 0.0x710.0x0.95</t>
        </is>
      </c>
      <c r="E1422" s="96" t="n">
        <v>0.02</v>
      </c>
      <c r="F1422" s="96" t="n">
        <v>2</v>
      </c>
      <c r="G1422" s="97" t="n">
        <v>12.92</v>
      </c>
    </row>
    <row r="1423">
      <c r="C1423" s="103" t="n"/>
      <c r="D1423" s="104" t="inlineStr">
        <is>
          <t>8040462.0:SAREL APPAREILLAGE ELECTRIQUE - 0.0x597.0x2.5</t>
        </is>
      </c>
      <c r="E1423" s="104" t="n">
        <v>0.01</v>
      </c>
      <c r="F1423" s="104" t="n">
        <v>1</v>
      </c>
      <c r="G1423" s="105" t="n">
        <v>11.47</v>
      </c>
    </row>
    <row r="1427">
      <c r="C1427" s="92" t="inlineStr">
        <is>
          <t>Details for : R6 proto - Postes Backlog</t>
        </is>
      </c>
      <c r="D1427" s="93" t="inlineStr">
        <is>
          <t>Article : Client - Length x Width x Thickness</t>
        </is>
      </c>
      <c r="E1427" s="93" t="inlineStr">
        <is>
          <t>Postes</t>
        </is>
      </c>
      <c r="F1427" s="93" t="inlineStr">
        <is>
          <t>Tonnes</t>
        </is>
      </c>
      <c r="G1427" s="94" t="inlineStr">
        <is>
          <t>Productivity</t>
        </is>
      </c>
    </row>
    <row r="1428">
      <c r="C1428" s="95" t="inlineStr">
        <is>
          <t>Sum Tonnes : 0.69</t>
        </is>
      </c>
      <c r="D1428" s="98" t="inlineStr">
        <is>
          <t>8110558.0:ARCELORMITTAL PROTO FLORANGE - 0.0x853.0x1.6</t>
        </is>
      </c>
      <c r="E1428" s="98" t="n">
        <v>0.03</v>
      </c>
      <c r="F1428" s="98" t="n">
        <v>0.6860000000000001</v>
      </c>
      <c r="G1428" s="99" t="n">
        <v>2.77</v>
      </c>
    </row>
    <row r="1429">
      <c r="C1429" s="95" t="inlineStr">
        <is>
          <t>Sum Postes : 0.03</t>
        </is>
      </c>
      <c r="D1429" s="96" t="n"/>
      <c r="E1429" s="96" t="n"/>
      <c r="F1429" s="96" t="n"/>
      <c r="G1429" s="97" t="n"/>
    </row>
    <row r="1430">
      <c r="C1430" s="106" t="inlineStr">
        <is>
          <t>Average Productivity : 10.61</t>
        </is>
      </c>
      <c r="D1430" s="104" t="n"/>
      <c r="E1430" s="104" t="n"/>
      <c r="F1430" s="104" t="n"/>
      <c r="G1430" s="105" t="n"/>
    </row>
    <row r="1434">
      <c r="C1434" s="92" t="inlineStr">
        <is>
          <t>Details for : R6 proto - Postes Forecast W</t>
        </is>
      </c>
      <c r="D1434" s="93" t="inlineStr">
        <is>
          <t>Article : Client - Length x Width x Thickness</t>
        </is>
      </c>
      <c r="E1434" s="93" t="inlineStr">
        <is>
          <t>Postes</t>
        </is>
      </c>
      <c r="F1434" s="93" t="inlineStr">
        <is>
          <t>Tonnes</t>
        </is>
      </c>
      <c r="G1434" s="94" t="inlineStr">
        <is>
          <t>Productivity</t>
        </is>
      </c>
    </row>
    <row r="1435">
      <c r="C1435" s="95" t="inlineStr">
        <is>
          <t>Sum Tonnes : 7.0</t>
        </is>
      </c>
      <c r="D1435" s="98" t="inlineStr">
        <is>
          <t>8112179.0:ARCELORMITTAL PROTO FLORANGE - 0.0x1520.0x0.95</t>
        </is>
      </c>
      <c r="E1435" s="98" t="n">
        <v>0.05</v>
      </c>
      <c r="F1435" s="98" t="n">
        <v>7</v>
      </c>
      <c r="G1435" s="99" t="n">
        <v>18.44</v>
      </c>
    </row>
    <row r="1436">
      <c r="C1436" s="95" t="inlineStr">
        <is>
          <t>Sum Postes : 0.05</t>
        </is>
      </c>
      <c r="D1436" s="96" t="n"/>
      <c r="E1436" s="96" t="n"/>
      <c r="F1436" s="96" t="n"/>
      <c r="G1436" s="97" t="n"/>
    </row>
    <row r="1437">
      <c r="C1437" s="106" t="inlineStr">
        <is>
          <t>Average Productivity : 10.61</t>
        </is>
      </c>
      <c r="D1437" s="104" t="n"/>
      <c r="E1437" s="104" t="n"/>
      <c r="F1437" s="104" t="n"/>
      <c r="G1437" s="105" t="n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2026-01-14T15:25:45Z</dcterms:created>
  <dcterms:modified xmlns:dcterms="http://purl.org/dc/terms/" xmlns:xsi="http://www.w3.org/2001/XMLSchema-instance" xsi:type="dcterms:W3CDTF">2026-03-03T10:41:23Z</dcterms:modified>
  <cp:lastModifiedBy>Rafael Dye</cp:lastModifiedBy>
</cp:coreProperties>
</file>