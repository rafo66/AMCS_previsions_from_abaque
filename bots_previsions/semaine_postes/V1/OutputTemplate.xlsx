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fael\Desktop\bots\AMCS\bots_previsions\semaine_postes\V1\"/>
    </mc:Choice>
  </mc:AlternateContent>
  <xr:revisionPtr revIDLastSave="0" documentId="13_ncr:1_{42A1529F-0259-4C56-90E6-70BA10C67CC1}" xr6:coauthVersionLast="47" xr6:coauthVersionMax="47" xr10:uidLastSave="{00000000-0000-0000-0000-000000000000}"/>
  <bookViews>
    <workbookView xWindow="28680" yWindow="-120" windowWidth="29040" windowHeight="15720" tabRatio="243" xr2:uid="{00000000-000D-0000-FFFF-FFFF00000000}"/>
  </bookViews>
  <sheets>
    <sheet name="Resultats" sheetId="1" r:id="rId1"/>
    <sheet name="Det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G27" i="1" s="1"/>
  <c r="F26" i="1"/>
  <c r="G26" i="1" s="1"/>
  <c r="F25" i="1"/>
  <c r="G25" i="1" s="1"/>
  <c r="F24" i="1"/>
  <c r="G24" i="1" s="1"/>
  <c r="F23" i="1"/>
  <c r="G23" i="1" s="1"/>
</calcChain>
</file>

<file path=xl/sharedStrings.xml><?xml version="1.0" encoding="utf-8"?>
<sst xmlns="http://schemas.openxmlformats.org/spreadsheetml/2006/main" count="1867" uniqueCount="708">
  <si>
    <t>Backlog</t>
  </si>
  <si>
    <t>Forecast W</t>
  </si>
  <si>
    <t>Forecast W1</t>
  </si>
  <si>
    <t>Forecast W2</t>
  </si>
  <si>
    <t>Forecast W3</t>
  </si>
  <si>
    <t>Forecast W4</t>
  </si>
  <si>
    <t>Forecast W5</t>
  </si>
  <si>
    <t>Forecast W6</t>
  </si>
  <si>
    <t>Forecast W7</t>
  </si>
  <si>
    <t>Forecast W8</t>
  </si>
  <si>
    <t>Postes</t>
  </si>
  <si>
    <t>Tonnes</t>
  </si>
  <si>
    <t>L1</t>
  </si>
  <si>
    <t>Série</t>
  </si>
  <si>
    <t>Proto</t>
  </si>
  <si>
    <t>LAS1</t>
  </si>
  <si>
    <t>P3</t>
  </si>
  <si>
    <t>R1</t>
  </si>
  <si>
    <t>R6</t>
  </si>
  <si>
    <t>Total</t>
  </si>
  <si>
    <t>Avance/Retard (semaine)</t>
  </si>
  <si>
    <t>Programmation Semaine :</t>
  </si>
  <si>
    <t>LAS1,</t>
  </si>
  <si>
    <t>Details for : L1 serie - Postes Backlog</t>
  </si>
  <si>
    <t>Article : Client - Length x Width x Thickness</t>
  </si>
  <si>
    <t>Productivity</t>
  </si>
  <si>
    <t>Sum Tonnes : 7491.95</t>
  </si>
  <si>
    <t>8070684.0:OTIS SCS - 2700.0x989.5x2.5</t>
  </si>
  <si>
    <t>Sum Postes : 37.62</t>
  </si>
  <si>
    <t>8085534.0:VIESSMANN FAULQUEMONT SAS - 3507.0x1746.0x2.55</t>
  </si>
  <si>
    <t>Average Productivity : 13.83</t>
  </si>
  <si>
    <t>8029403.0:SAREL APPAREILLAGE ELECTRIQUE - 1838.0x1638.0x1.45</t>
  </si>
  <si>
    <t>8069824.0:VIESSMANN FAULQUEMONT SAS - 2463.0x1667.0x2.5</t>
  </si>
  <si>
    <t>8046628.0:SIMPSON STRONG-TIE SAS - 2500.0x1250.0x2.5</t>
  </si>
  <si>
    <t>8055035.0:AMDS COLOMIERS - 3490.0x1120.0x2.5</t>
  </si>
  <si>
    <t>8012572.0:GESTAMP NOURY S.A. - 1850.0x255.0x1.4</t>
  </si>
  <si>
    <t>8012560.0:SOFEDIT GOUZEAUCOURT - 1920.0x1825.0x0.8</t>
  </si>
  <si>
    <t>8055824.0:MARTINREA BERGNEUSTADT GmbH - 2077.0x367.0x2.0</t>
  </si>
  <si>
    <t>8038432.0:OTIS SCS - 3000.0x1370.0x2.5</t>
  </si>
  <si>
    <t>8039307.0:OTIS SCS - 3300.0x550.0x3.0</t>
  </si>
  <si>
    <t>Details for : L1 serie - Postes Forecast W</t>
  </si>
  <si>
    <t>Sum Tonnes : 92.0</t>
  </si>
  <si>
    <t>8029298.0:SEBP PAVAILLER - 1670.0x1500.0x1.5</t>
  </si>
  <si>
    <t>Sum Postes : 2.1</t>
  </si>
  <si>
    <t>8012581.0:SNOP VILLEPINTE - 430.0x1000.0x0.75</t>
  </si>
  <si>
    <t>8012607.0:SNOP VILLEPINTE - 1268.0x490.0x0.8</t>
  </si>
  <si>
    <t>8012609.0:SNOP VILLEPINTE - 1220.0x605.0x0.8</t>
  </si>
  <si>
    <t>8012608.0:SNOP VILLEPINTE - 1700.0x490.0x0.8</t>
  </si>
  <si>
    <t>8032513.0:GEDIA POLAND SP Z.O.O - 692.0x262.0x1.5</t>
  </si>
  <si>
    <t>8032515.0:GEDIA POLAND SP Z.O.O - 1480.0x268.0x1.5</t>
  </si>
  <si>
    <t>8032516.0:GEDIA POLAND SP Z.O.O - 640.0x346.0x2.0</t>
  </si>
  <si>
    <t>8032518.0:GEDIA POLAND SP Z.O.O - 1024.0x650.0x1.0</t>
  </si>
  <si>
    <t>8029409.0:SAREL APPAREILLAGE ELECTRIQUE - 1339.0x1339.0x1.15</t>
  </si>
  <si>
    <t>8029406.0:SAREL APPAREILLAGE ELECTRIQUE - 1439.0x1439.0x1.15</t>
  </si>
  <si>
    <t>8058505.0:SAREL APPAREILLAGE ELECTRIQUE - 2007.0x1221.5x1.45</t>
  </si>
  <si>
    <t>8029408.0:SAREL APPAREILLAGE ELECTRIQUE - 2000.0x1000.0x2.5</t>
  </si>
  <si>
    <t>8029396.0:SAREL APPAREILLAGE ELECTRIQUE - 1838.0x1238.0x1.45</t>
  </si>
  <si>
    <t>8029398.0:SAREL APPAREILLAGE ELECTRIQUE - 2500.0x1250.0x1.0</t>
  </si>
  <si>
    <t>Details for : L1 serie - Postes Forecast W1</t>
  </si>
  <si>
    <t>Sum Tonnes : 261.21</t>
  </si>
  <si>
    <t>8049030.0:GIENNOISE DE CHAUDRONNERIE - 2500.0x1370.0x2.5</t>
  </si>
  <si>
    <t>Sum Postes : 4.28</t>
  </si>
  <si>
    <t>8012591.0:GEDIA POLAND SP Z.O.O - 2210.0x551.0x2.4</t>
  </si>
  <si>
    <t>8012601.0:SNOP VILLEPINTE - 1220.0x480.0x1.2</t>
  </si>
  <si>
    <t>8012606.0:SNOP VILLEPINTE - 400.0x550.0x1.5</t>
  </si>
  <si>
    <t>8032595.0:GEDIA POLAND SP Z.O.O - 1861.0x273.0x1.2</t>
  </si>
  <si>
    <t>8057994.0:RENAULT SAS - 790.0x210.0x2.0</t>
  </si>
  <si>
    <t>Details for : L1 serie - Postes Forecast W2</t>
  </si>
  <si>
    <t>Sum Tonnes : 394.12</t>
  </si>
  <si>
    <t>Sum Postes : 8.17</t>
  </si>
  <si>
    <t>8012605.0:SNOP VILLEPINTE - 530.0x650.0x2.5</t>
  </si>
  <si>
    <t>8018131.0:BENTELER CR s.r.o. CHRASTAVA - 796.0x235.0x1.4</t>
  </si>
  <si>
    <t>8016926.0:SNOP VILLEPINTE - 643.0x374.0x1.2</t>
  </si>
  <si>
    <t>8029395.0:SAREL APPAREILLAGE ELECTRIQUE - 1439.0x1239.0x1.15</t>
  </si>
  <si>
    <t>8050961.0:SAREL APPAREILLAGE ELECTRIQUE - 1932.0x1197.0x2.5</t>
  </si>
  <si>
    <t>8029413.0:SAREL APPAREILLAGE ELECTRIQUE - 1639.0x1439.0x1.15</t>
  </si>
  <si>
    <t>8029401.0:SAREL APPAREILLAGE ELECTRIQUE - 1638.0x1438.0x1.45</t>
  </si>
  <si>
    <t>8029404.0:SAREL APPAREILLAGE ELECTRIQUE - 2038.0x1638.0x1.45</t>
  </si>
  <si>
    <t>8029402.0:SAREL APPAREILLAGE ELECTRIQUE - 1638.0x1638.0x1.45</t>
  </si>
  <si>
    <t>8029400.0:SAREL APPAREILLAGE ELECTRIQUE - 1838.0x1838.0x1.45</t>
  </si>
  <si>
    <t>8029412.0:SAREL APPAREILLAGE ELECTRIQUE - 1539.0x1339.0x1.15</t>
  </si>
  <si>
    <t>8029394.0:SAREL APPAREILLAGE ELECTRIQUE - 2500.0x1455.0x1.15</t>
  </si>
  <si>
    <t>8029392.0:SAREL APPAREILLAGE ELECTRIQUE - 2500.0x1650.0x2.0</t>
  </si>
  <si>
    <t>8029405.0:SAREL APPAREILLAGE ELECTRIQUE - 1838.0x1438.0x1.45</t>
  </si>
  <si>
    <t>8050960.0:SAREL APPAREILLAGE ELECTRIQUE - 1732.0x1197.0x2.5</t>
  </si>
  <si>
    <t>8050962.0:SAREL APPAREILLAGE ELECTRIQUE - 2132.0x1197.0x2.5</t>
  </si>
  <si>
    <t>8058504.0:SAREL APPAREILLAGE ELECTRIQUE - 1807.0x1221.5x1.45</t>
  </si>
  <si>
    <t>8046189.0:SAREL APPAREILLAGE ELECTRIQUE - 2500.0x1250.0x1.5</t>
  </si>
  <si>
    <t>8040538.0:SAREL APPAREILLAGE ELECTRIQUE - 1732.0x997.0x2.5</t>
  </si>
  <si>
    <t>8040787.0:SAREL APPAREILLAGE ELECTRIQUE - 1932.0x997.0x2.5</t>
  </si>
  <si>
    <t>8040788.0:SAREL APPAREILLAGE ELECTRIQUE - 2132.0x997.0x2.5</t>
  </si>
  <si>
    <t>8039030.0:OTIS SCS - 3410.0x1370.0x2.5</t>
  </si>
  <si>
    <t>8040408.0:OTIS SCS - 3380.0x677.0x2.5</t>
  </si>
  <si>
    <t>Details for : L1 serie - Postes Forecast W3</t>
  </si>
  <si>
    <t>Sum Tonnes : 190.33</t>
  </si>
  <si>
    <t>Sum Postes : 2.8</t>
  </si>
  <si>
    <t>8105974.0:BONGARD SAS - 1900.0x950.0x2.0</t>
  </si>
  <si>
    <t>8105975.0:BONGARD SAS - 1900.0x1350.0x2.0</t>
  </si>
  <si>
    <t>8029215.0:BONGARD SAS - 3000.0x1500.0x2.0</t>
  </si>
  <si>
    <t>8029213.0:BONGARD SAS - 3000.0x1500.0x1.5</t>
  </si>
  <si>
    <t>Details for : L1 serie - Postes Forecast W4</t>
  </si>
  <si>
    <t>Sum Tonnes : 216.08</t>
  </si>
  <si>
    <t>8029299.0:SEBP PAVAILLER - 3000.0x1500.0x1.5</t>
  </si>
  <si>
    <t>Sum Postes : 3.77</t>
  </si>
  <si>
    <t>Details for : L1 serie - Postes Forecast W5</t>
  </si>
  <si>
    <t>Sum Tonnes : 280.6</t>
  </si>
  <si>
    <t>8029297.0:SEBP PAVAILLER - 3000.0x1500.0x1.0</t>
  </si>
  <si>
    <t>Sum Postes : 4.21</t>
  </si>
  <si>
    <t>8109448.0:VIESSMANN FAULQUEMONT SAS - 2103.0x1654.0x0.7</t>
  </si>
  <si>
    <t>8012603.0:SNOP VILLEPINTE - 465.0x725.0x1.7</t>
  </si>
  <si>
    <t>Details for : L1 serie - Postes Forecast W6</t>
  </si>
  <si>
    <t>Sum Tonnes : 295.4</t>
  </si>
  <si>
    <t>8029212.0:BONGARD SAS - 2000.0x1500.0x1.5</t>
  </si>
  <si>
    <t>Sum Postes : 5.69</t>
  </si>
  <si>
    <t>8012610.0:SNOP VILLEPINTE - 1205.0x550.0x0.8</t>
  </si>
  <si>
    <t>8029399.0:SAREL APPAREILLAGE ELECTRIQUE - 2038.0x1838.0x1.45</t>
  </si>
  <si>
    <t>Details for : L1 serie - Postes Forecast W7</t>
  </si>
  <si>
    <t>Sum Tonnes : 172.08</t>
  </si>
  <si>
    <t>Sum Postes : 3.36</t>
  </si>
  <si>
    <t>8030451.0:OTIS SCS - 1390.0x410.0x4.0</t>
  </si>
  <si>
    <t>Details for : L1 serie - Postes Forecast W8</t>
  </si>
  <si>
    <t>Sum Tonnes : 254.3</t>
  </si>
  <si>
    <t>Sum Postes : 3.58</t>
  </si>
  <si>
    <t>8012561.0:BENTELER AUTOMOBILTECHNIK GMBH - 2240.0x1500.0x1.8</t>
  </si>
  <si>
    <t>Details for : L1 proto - Postes Backlog</t>
  </si>
  <si>
    <t>Sum Tonnes : 103.19</t>
  </si>
  <si>
    <t>8114437.0:RENAULT TECHNOLOGIE ROUMANIE SRL - 1600.0x1830.0x0.65</t>
  </si>
  <si>
    <t>Sum Postes : 2.85</t>
  </si>
  <si>
    <t>8109263.0:ARCELORMITTAL PROTO FLORANGE - 340.0x460.0x1.5</t>
  </si>
  <si>
    <t>Average Productivity : 4.67</t>
  </si>
  <si>
    <t>8110074.0:ARCELORMITTAL PROTO FLORANGE - 2500.0x1420.0x2.0</t>
  </si>
  <si>
    <t>8110077.0:ARCELORMITTAL PROTO FLORANGE - 2500.0x1500.0x1.5</t>
  </si>
  <si>
    <t>8110104.0:ARCELORMITTAL PROTO FLORANGE - 2500.0x1500.0x1.5</t>
  </si>
  <si>
    <t>8111058.0:ARCELORMITTAL PROTO FLORANGE - 2500.0x1200.0x1.25</t>
  </si>
  <si>
    <t>8111174.0:ARCELORMITTAL PROTO FLORANGE - 1000.0x1280.0x1.8</t>
  </si>
  <si>
    <t>8111183.0:ARCELORMITTAL PROTO FLORANGE - 1500.0x1229.0x1.2</t>
  </si>
  <si>
    <t>8113762.0:ARCELORMITTAL PROTO FLORANGE - 1050.0x1280.0x1.8</t>
  </si>
  <si>
    <t>8113763.0:ARCELORMITTAL PROTO FLORANGE - 1630.0x1280.0x1.2</t>
  </si>
  <si>
    <t>8111450.0:ARCELORMITTAL PROTO FLORANGE - 1239.0x316.0x0.75</t>
  </si>
  <si>
    <t>8113243.0:ARCELORMITTAL PROTO FLORANGE - 1239.0x316.0x0.8</t>
  </si>
  <si>
    <t>8111637.0:ARCELORMITTAL PROTO FLORANGE - 461.0x1410.0x1.7</t>
  </si>
  <si>
    <t>8111685.0:ARCELORMITTAL PROTO FLORANGE - 798.0x1350.0x1.3</t>
  </si>
  <si>
    <t>8111784.0:ARCELORMITTAL PROTO FLORANGE - 500.0x1510.0x1.2</t>
  </si>
  <si>
    <t>8111884.0:ARCELORMITTAL PROTO FLORANGE - 500.0x932.0x1.52</t>
  </si>
  <si>
    <t>8111803.0:ARCELORMITTAL PROTO FLORANGE - 500.0x1310.0x1.4</t>
  </si>
  <si>
    <t>8111906.0:ARCELORMITTAL PROTO FLORANGE - 500.0x1355.0x1.4</t>
  </si>
  <si>
    <t>8112016.0:ARCELORMITTAL PROTO FLORANGE - 1250.0x1200.0x1.5</t>
  </si>
  <si>
    <t>Details for : L1 proto - Postes Forecast W</t>
  </si>
  <si>
    <t>Sum Tonnes : 17.78</t>
  </si>
  <si>
    <t>8111071.0:ARCELORMITTAL PROTO FLORANGE - 2500.0x1400.0x2.0</t>
  </si>
  <si>
    <t>Sum Postes : 0.59</t>
  </si>
  <si>
    <t>8111490.0:ARCELORMITTAL PROTO FLORANGE - 2500.0x1400.0x1.75</t>
  </si>
  <si>
    <t>8112937.0:ARCELORMITTAL PROTO FLORANGE - 500.0x1070.0x1.5</t>
  </si>
  <si>
    <t>8112939.0:ARCELORMITTAL PROTO FLORANGE - 500.0x1840.0x0.79</t>
  </si>
  <si>
    <t>8113018.0:ARCELORMITTAL PROTO FLORANGE - 1000.0x1645.0x1.5</t>
  </si>
  <si>
    <t>8113123.0:ARCELORMITTAL PROTO FLORANGE - 1000.0x1530.0x1.6</t>
  </si>
  <si>
    <t>8114808.0:ARCELORMITTAL PROTO FLORANGE - 1000.0x1500.0x1.4</t>
  </si>
  <si>
    <t>8113536.0:ARCELORMITTAL PROTO FLORANGE - 550.0x624.0x1.5</t>
  </si>
  <si>
    <t>8113539.0:ARCELORMITTAL PROTO FLORANGE - 1145.0x995.0x1.5</t>
  </si>
  <si>
    <t>8113551.0:ARCELORMITTAL PROTO FLORANGE - 1190.0x1016.0x1.5</t>
  </si>
  <si>
    <t>8113552.0:ARCELORMITTAL PROTO FLORANGE - 450.0x1156.0x2.0</t>
  </si>
  <si>
    <t>8113566.0:ARCELORMITTAL PROTO FLORANGE - 2100.0x900.0x1.5</t>
  </si>
  <si>
    <t>8113568.0:ARCELORMITTAL PROTO FLORANGE - 2400.0x900.0x1.5</t>
  </si>
  <si>
    <t>8113569.0:ARCELORMITTAL PROTO FLORANGE - 1000.0x1500.0x2.0</t>
  </si>
  <si>
    <t>8114366.0:ARCELORMITTAL PROTO FLORANGE - 2000.0x1270.0x2.0</t>
  </si>
  <si>
    <t>Details for : L1 proto - Postes Forecast W1</t>
  </si>
  <si>
    <t>Sum Tonnes : 71.8</t>
  </si>
  <si>
    <t>8111788.0:ARCELORMITTAL PROTO FLORANGE - 2200.0x1100.0x1.1</t>
  </si>
  <si>
    <t>Sum Postes : 1.98</t>
  </si>
  <si>
    <t>8111844.0:ARCELORMITTAL PROTO FLORANGE - 2200.0x1400.0x1.2</t>
  </si>
  <si>
    <t>8113404.0:ARCELORMITTAL PROTO FLORANGE - 1000.0x1513.0x1.5</t>
  </si>
  <si>
    <t>8113441.0:ARCELORMITTAL PROTO FLORANGE - 1000.0x1176.0x0.73</t>
  </si>
  <si>
    <t>8113445.0:ARCELORMITTAL PROTO FLORANGE - 500.0x1176.0x0.73</t>
  </si>
  <si>
    <t>8113528.0:ARCELORMITTAL PROTO FLORANGE - 1000.0x1176.0x0.73</t>
  </si>
  <si>
    <t>8113531.0:ARCELORMITTAL PROTO FLORANGE - 500.0x1176.0x0.73</t>
  </si>
  <si>
    <t>8113591.0:ARCELORMITTAL PROTO FLORANGE - 500.0x830.0x1.6</t>
  </si>
  <si>
    <t>8113664.0:ARCELORMITTAL PROTO FLORANGE - 500.0x830.0x1.6</t>
  </si>
  <si>
    <t>8113897.0:ARCELORMITTAL PROTO FLORANGE - 798.0x1350.0x1.3</t>
  </si>
  <si>
    <t>Details for : L1 proto - Postes Forecast W2</t>
  </si>
  <si>
    <t>Sum Tonnes : 0.68</t>
  </si>
  <si>
    <t>8114034.0:ARCELORMITTAL PROTO FLORANGE - 500.0x1500.0x1.5</t>
  </si>
  <si>
    <t>Sum Postes : 0.01</t>
  </si>
  <si>
    <t>8114523.0:ARCELORMITTAL PROTO FLORANGE - 2000.0x1355.0x1.5</t>
  </si>
  <si>
    <t>8114524.0:ARCELORMITTAL PROTO FLORANGE - 500.0x1187.0x2.0</t>
  </si>
  <si>
    <t>Details for : L1 proto - Postes Forecast W3</t>
  </si>
  <si>
    <t>Sum Tonnes : 2.01</t>
  </si>
  <si>
    <t>8112219.0:ARCELORMITTAL PROTO FLORANGE - 500.0x1500.0x1.5</t>
  </si>
  <si>
    <t>Sum Postes : 0.06</t>
  </si>
  <si>
    <t>8112230.0:ARCELORMITTAL PROTO FLORANGE - 500.0x1050.0x3.0</t>
  </si>
  <si>
    <t>8114767.0:DACIA MECANIQUE - 1200.0x1500.0x1.6</t>
  </si>
  <si>
    <t>Details for : L1 proto - Postes Forecast W6</t>
  </si>
  <si>
    <t>Sum Tonnes : 32.28</t>
  </si>
  <si>
    <t>8114716.0:ARCELORMITTAL PROTO FLORANGE - 3100.0x1580.0x0.7</t>
  </si>
  <si>
    <t>Sum Postes : 0.89</t>
  </si>
  <si>
    <t>Details for : L1 proto - Postes Forecast W8</t>
  </si>
  <si>
    <t>8114701.0:ARCELORMITTAL PROTO FLORANGE - 3100.0x1580.0x0.7</t>
  </si>
  <si>
    <t>Details for : LASS1, serie - Postes Backlog</t>
  </si>
  <si>
    <t>Sum Tonnes : 0.62</t>
  </si>
  <si>
    <t>8107433.0:ARCELORMITTAL PROTO FLORANGE - 0.0x0.0x1.6</t>
  </si>
  <si>
    <t>Sum Postes : 0.4</t>
  </si>
  <si>
    <t>Average Productivity : 1.82</t>
  </si>
  <si>
    <t>Details for : LASS1, serie - Postes Forecast W</t>
  </si>
  <si>
    <t>Sum Tonnes : 2.95</t>
  </si>
  <si>
    <t>8114615.0:ARCELORMITTAL PROTO FLORANGE - 0.0x0.0x1.8</t>
  </si>
  <si>
    <t>8114617.0:ARCELORMITTAL PROTO FLORANGE - 0.0x0.0x1.8</t>
  </si>
  <si>
    <t>Details for : LASS1, serie - Postes Forecast W2</t>
  </si>
  <si>
    <t>Sum Tonnes : 31.88</t>
  </si>
  <si>
    <t>8018115.0:SODECIA AUTOMOTIVE SAARLOUIS GMBH - 0.0x0.0x1.8</t>
  </si>
  <si>
    <t>Sum Postes : 5.0</t>
  </si>
  <si>
    <t>8069742.0:SNOP VILLEPINTE - 0.0x0.0x1.6</t>
  </si>
  <si>
    <t>Details for : LASS1, serie - Postes Forecast W4</t>
  </si>
  <si>
    <t>Sum Tonnes : 2.73</t>
  </si>
  <si>
    <t>8071005.0:SNOP VILLEPINTE - 0.0x0.0x1.8</t>
  </si>
  <si>
    <t>Sum Postes : 0.79</t>
  </si>
  <si>
    <t>Details for : LASS1, serie - Postes Forecast W6</t>
  </si>
  <si>
    <t>Sum Tonnes : 5.66</t>
  </si>
  <si>
    <t>8070484.0:SNOP VILLEPINTE - 0.0x0.0x1.6</t>
  </si>
  <si>
    <t>Sum Postes : 2.47</t>
  </si>
  <si>
    <t>8070469.0:SNOP VILLEPINTE - 0.0x0.0x1.2</t>
  </si>
  <si>
    <t>Details for : LASS1, serie - Postes Forecast W7</t>
  </si>
  <si>
    <t>Details for : LASS1, proto - Postes Backlog</t>
  </si>
  <si>
    <t>Sum Tonnes : 177.76</t>
  </si>
  <si>
    <t>8108438.0:FCA Italy S.p.A. - 0.0x0.0x0.65</t>
  </si>
  <si>
    <t>Sum Postes : 6.06</t>
  </si>
  <si>
    <t>8108481.0:FCA Italy S.p.A. - 0.0x0.0x0.65</t>
  </si>
  <si>
    <t>Average Productivity : 4.17</t>
  </si>
  <si>
    <t>8108483.0:FCA Italy S.p.A. - 0.0x0.0x0.65</t>
  </si>
  <si>
    <t>8110469.0:ARCELORMITTAL PROTO FLORANGE - 0.0x0.0x0.65</t>
  </si>
  <si>
    <t>8111938.0:ARCELORMITTAL PROTO FLORANGE - 0.0x0.0x2.5</t>
  </si>
  <si>
    <t>8111081.0:ARCELORMITTAL PROTO FLORANGE - 0.0x0.0x1.2</t>
  </si>
  <si>
    <t>8111083.0:ARCELORMITTAL PROTO FLORANGE - 0.0x0.0x1.2</t>
  </si>
  <si>
    <t>8111137.0:ARCELORMITTAL PROTO FLORANGE - 0.0x0.0x1.2</t>
  </si>
  <si>
    <t>8111149.0:ARCELORMITTAL PROTO FLORANGE - 0.0x0.0x1.2</t>
  </si>
  <si>
    <t>8111189.0:ARCELORMITTAL PROTO FLORANGE - 0.0x0.0x2.0</t>
  </si>
  <si>
    <t>8111697.0:ARCELORMITTAL PROTO FLORANGE - 0.0x0.0x0.75</t>
  </si>
  <si>
    <t>8112146.0:ARCELORMITTAL PROTO FLORANGE - 0.0x0.0x0.75</t>
  </si>
  <si>
    <t>8110619.0:ARCELORMITTAL PROTO FLORANGE - 0.0x0.0x1.25</t>
  </si>
  <si>
    <t>8110631.0:ARCELORMITTAL PROTO FLORANGE - 0.0x0.0x1.25</t>
  </si>
  <si>
    <t>8110654.0:ARCELORMITTAL PROTO FLORANGE - 0.0x0.0x1.5</t>
  </si>
  <si>
    <t>Details for : LASS1, proto - Postes Forecast W</t>
  </si>
  <si>
    <t>Sum Tonnes : 20.51</t>
  </si>
  <si>
    <t>8113733.0:ARCELORMITTAL PROTO FLORANGE - 0.0x0.0x1.2</t>
  </si>
  <si>
    <t>Sum Postes : 0.56</t>
  </si>
  <si>
    <t>8113735.0:ARCELORMITTAL PROTO FLORANGE - 0.0x0.0x1.2</t>
  </si>
  <si>
    <t>8113736.0:ARCELORMITTAL PROTO FLORANGE - 0.0x0.0x1.5</t>
  </si>
  <si>
    <t>Details for : P3 serie - Postes Backlog</t>
  </si>
  <si>
    <t>Sum Tonnes : 30.29</t>
  </si>
  <si>
    <t>8019847.0:ADAM OPEL GMBH - 295.0x620.0x3.8</t>
  </si>
  <si>
    <t>Sum Postes : 1.22</t>
  </si>
  <si>
    <t>Average Productivity : 2.4</t>
  </si>
  <si>
    <t>Details for : P3 serie - Postes Forecast W</t>
  </si>
  <si>
    <t>Sum Tonnes : 138.57</t>
  </si>
  <si>
    <t>8012585.0:RENAULT SAS - 237.0x1131.0x5.5</t>
  </si>
  <si>
    <t>Sum Postes : 8.39</t>
  </si>
  <si>
    <t>8012600.0:TOYOTA TSUSHO EUROPE S.A. - 156.0x780.0x1.2</t>
  </si>
  <si>
    <t>8031950.0:PEUGEOT CITROEN AUTOMOBILES SA - 845.0x306.0x1.3</t>
  </si>
  <si>
    <t>8068756.0:PEUGEOT CITROEN AUTOMOBILES SA - 232.0x775.0x1.0</t>
  </si>
  <si>
    <t>8106084.0:PEUGEOT CITROEN AUTOMOBILES SA - 240.0x884.0x0.9</t>
  </si>
  <si>
    <t>Details for : P3 serie - Postes Forecast W1</t>
  </si>
  <si>
    <t>Sum Tonnes : 68.46</t>
  </si>
  <si>
    <t>8033732.0:DE BUYER INDUSTRIES  SA - 534.0x329.0x1.2</t>
  </si>
  <si>
    <t>Sum Postes : 4.64</t>
  </si>
  <si>
    <t>8012559.0:GESTAMP LE THEIL - 265.5x950.0x5.0</t>
  </si>
  <si>
    <t>Details for : P3 serie - Postes Forecast W2</t>
  </si>
  <si>
    <t>Sum Tonnes : 170.78</t>
  </si>
  <si>
    <t>Sum Postes : 12.91</t>
  </si>
  <si>
    <t>8042687.0:OTIS SCS - 1370.0x750.0x4.0</t>
  </si>
  <si>
    <t>8057290.0:F2J STAMPING BESSINES - 570.0x460.0x3.5</t>
  </si>
  <si>
    <t>8058121.0:F2J STAMPING BESSINES - 500.0x390.0x3.5</t>
  </si>
  <si>
    <t>8068567.0:F2J STAMPING BESSINES - 190.0x350.0x3.5</t>
  </si>
  <si>
    <t>Details for : P3 serie - Postes Forecast W3</t>
  </si>
  <si>
    <t>Sum Tonnes : 120.42</t>
  </si>
  <si>
    <t>Sum Postes : 8.67</t>
  </si>
  <si>
    <t>Details for : P3 serie - Postes Forecast W4</t>
  </si>
  <si>
    <t>Details for : P3 serie - Postes Forecast W5</t>
  </si>
  <si>
    <t>Sum Tonnes : 179.58</t>
  </si>
  <si>
    <t>8012614.0:DAF TRUCKS NV - 1550.0x300.0x2.5</t>
  </si>
  <si>
    <t>Sum Postes : 11.52</t>
  </si>
  <si>
    <t>Details for : P3 serie - Postes Forecast W6</t>
  </si>
  <si>
    <t>Sum Tonnes : 30.83</t>
  </si>
  <si>
    <t>8033731.0:DE BUYER INDUSTRIES  SA - 600.0x400.0x1.2</t>
  </si>
  <si>
    <t>Sum Postes : 2.74</t>
  </si>
  <si>
    <t>Details for : P3 serie - Postes Forecast W7</t>
  </si>
  <si>
    <t>Sum Tonnes : 23.86</t>
  </si>
  <si>
    <t>Sum Postes : 1.1</t>
  </si>
  <si>
    <t>Details for : P3 serie - Postes Forecast W8</t>
  </si>
  <si>
    <t>Sum Tonnes : 30.27</t>
  </si>
  <si>
    <t>Sum Postes : 2.42</t>
  </si>
  <si>
    <t>Details for : P3 proto - Postes Backlog</t>
  </si>
  <si>
    <t>Sum Tonnes : 38.17</t>
  </si>
  <si>
    <t>8032078.0:ARCELORMITTAL PROTO FLORANGE - 0.0x0.0x0.85</t>
  </si>
  <si>
    <t>Sum Postes : 1.04</t>
  </si>
  <si>
    <t>8032089.0:ARCELORMITTAL PROTO FLORANGE - 0.0x0.0x0.85</t>
  </si>
  <si>
    <t>Average Productivity : 4.86</t>
  </si>
  <si>
    <t>8090786.0:ARCELORMITTAL PROTO FLORANGE - 2000.0x1200.0x2.5</t>
  </si>
  <si>
    <t>8107645.0:ARCELORMITTAL PROTO FLORANGE - 1000.0x1174.0x2.61</t>
  </si>
  <si>
    <t>8107652.0:ARCELORMITTAL PROTO FLORANGE - 1000.0x1173.0x2.61</t>
  </si>
  <si>
    <t>8110736.0:ARCELORMITTAL PROTO FLORANGE - 2200.0x1000.0x0.8</t>
  </si>
  <si>
    <t>8110737.0:ARCELORMITTAL PROTO FLORANGE - 2200.0x1100.0x1.1</t>
  </si>
  <si>
    <t>8111492.0:ARCELORMITTAL PROTO FLORANGE - 2000.0x1040.0x3.0</t>
  </si>
  <si>
    <t>8111885.0:ARCELORMITTAL PROTO FLORANGE - 500.0x932.0x1.52</t>
  </si>
  <si>
    <t>8112017.0:ARCELORMITTAL PROTO FLORANGE - 1250.0x1200.0x1.5</t>
  </si>
  <si>
    <t>8112936.0:ARCELORMITTAL PROTO FLORANGE - 2000.0x1213.0x1.82</t>
  </si>
  <si>
    <t>8112990.0:ARCELORMITTAL PROTO FLORANGE - 2000.0x948.0x2.0</t>
  </si>
  <si>
    <t>Details for : P3 proto - Postes Forecast W</t>
  </si>
  <si>
    <t>Sum Tonnes : 0.58</t>
  </si>
  <si>
    <t>8113767.0:ARCELORMITTAL PROTO FLORANGE - 500.0x1200.0x1.62</t>
  </si>
  <si>
    <t>8113403.0:ARCELORMITTAL PROTO FLORANGE - 2000.0x1201.0x1.75</t>
  </si>
  <si>
    <t>Details for : P3 proto - Postes Forecast W1</t>
  </si>
  <si>
    <t>8114054.0:ARCELORMITTAL PROTO FLORANGE - 2000.0x1015.0x2.23</t>
  </si>
  <si>
    <t>8113928.0:ARCELORMITTAL PROTO FLORANGE - 500.0x1010.0x1.5</t>
  </si>
  <si>
    <t>Details for : P3 proto - Postes Forecast W2</t>
  </si>
  <si>
    <t>Sum Tonnes : 0.46</t>
  </si>
  <si>
    <t>8113944.0:ARCELORMITTAL PROTO FLORANGE - 2000.0x904.0x2.12</t>
  </si>
  <si>
    <t>Details for : R1 serie - Postes Backlog</t>
  </si>
  <si>
    <t>Sum Tonnes : 1024.21</t>
  </si>
  <si>
    <t>8022928.0:ArcelorMittal FRANCE - 0.0x880.0x0.85</t>
  </si>
  <si>
    <t>Sum Postes : 7.64</t>
  </si>
  <si>
    <t>8058213.0:ArcelorMittal FRANCE - 0.0x910.0x0.65</t>
  </si>
  <si>
    <t>Average Productivity : 18.94</t>
  </si>
  <si>
    <t>8055148.0:ArcelorMittal FRANCE - 0.0x900.0x0.5</t>
  </si>
  <si>
    <t>8054672.0:ArcelorMittal FRANCE - 0.0x970.0x0.5</t>
  </si>
  <si>
    <t>8055219.0:ArcelorMittal FRANCE - 0.0x773.0x0.8</t>
  </si>
  <si>
    <t>8051523.0:ArcelorMittal FRANCE - 0.0x900.0x0.8</t>
  </si>
  <si>
    <t>8085848.0:BUBENDORFF SAS - 0.0x185.0x0.6</t>
  </si>
  <si>
    <t>8056251.0:LEBRAUT RICHARD DECOUPAGE SAS - 0.0x337.0x1.5</t>
  </si>
  <si>
    <t>8039801.0:SIMPSON STRONG-TIE SAS - 0.0x320.0x2.0</t>
  </si>
  <si>
    <t>8048809.0:SIMPSON STRONG-TIE SAS - 0.0x80.0x2.0</t>
  </si>
  <si>
    <t>8029019.0:PLACOPLATRE SA - 0.0x92.0x0.59</t>
  </si>
  <si>
    <t>8058156.0:VIESSMANN FAULQUEMONT SAS - 0.0x630.0x3.5</t>
  </si>
  <si>
    <t>8041795.0:SIMPSON STRONG-TIE SAS - 0.0x440.0x2.0</t>
  </si>
  <si>
    <t>8033084.0:SIMPSON STRONG-TIE SAS - 0.0x380.0x2.0</t>
  </si>
  <si>
    <t>8033083.0:SIMPSON STRONG-TIE SAS - 0.0x340.0x2.0</t>
  </si>
  <si>
    <t>8033054.0:SIMPSON STRONG-TIE SAS - 0.0x150.0x1.5</t>
  </si>
  <si>
    <t>8033590.0:SIMPSON STRONG-TIE SAS - 0.0x250.0x1.5</t>
  </si>
  <si>
    <t>8039805.0:SIMPSON STRONG-TIE SAS - 0.0x60.0x1.5</t>
  </si>
  <si>
    <t>8033077.0:SIMPSON STRONG-TIE SAS - 0.0x380.0x1.5</t>
  </si>
  <si>
    <t>8039779.0:SIMPSON STRONG-TIE SAS - 0.0x320.0x1.5</t>
  </si>
  <si>
    <t>8110459.0:TOLE PRO - 0.0x74.0x2.45</t>
  </si>
  <si>
    <t>8039802.0:SIMPSON STRONG-TIE SAS - 0.0x220.0x2.5</t>
  </si>
  <si>
    <t>8033158.0:SIMPSON STRONG-TIE SAS - 0.0x171.0x2.5</t>
  </si>
  <si>
    <t>8042388.0:SIMPSON STRONG-TIE SAS - 0.0x275.0x3.0</t>
  </si>
  <si>
    <t>8033497.0:SIMPSON STRONG-TIE SAS - 0.0x260.0x1.5</t>
  </si>
  <si>
    <t>8029712.0:RICHTER SYSTEM / SCHULTZ - 0.0x118.0x0.58</t>
  </si>
  <si>
    <t>8068456.0:SEMIN PROFILS - 0.0x93.0x0.58</t>
  </si>
  <si>
    <t>8013866.0:MA SRL - 0.0x265.0x0.95</t>
  </si>
  <si>
    <t>8017856.0:MA POLSKA - 0.0x293.5x0.95</t>
  </si>
  <si>
    <t>8022973.0:BAOMARC - 0.0x457.0x1.5</t>
  </si>
  <si>
    <t>8027928.0:MA SRL - 0.0x320.0x1.4</t>
  </si>
  <si>
    <t>8050618.0:MA POLSKA - 0.0x320.0x1.4</t>
  </si>
  <si>
    <t>8029909.0:SAREL APPAREILLAGE ELECTRIQUE - 0.0x421.5x1.5</t>
  </si>
  <si>
    <t>8040446.0:SAREL APPAREILLAGE ELECTRIQUE - 0.0x797.0x2.5</t>
  </si>
  <si>
    <t>8029916.0:SAREL APPAREILLAGE ELECTRIQUE - 0.0x789.0x1.8</t>
  </si>
  <si>
    <t>8040462.0:SAREL APPAREILLAGE ELECTRIQUE - 0.0x597.0x2.5</t>
  </si>
  <si>
    <t>8022128.0:NPL SASU - 0.0x227.0x1.0</t>
  </si>
  <si>
    <t>Details for : R1 serie - Postes Forecast W</t>
  </si>
  <si>
    <t>Sum Tonnes : 322.14</t>
  </si>
  <si>
    <t>Sum Postes : 2.07</t>
  </si>
  <si>
    <t>8011953.0:SNOP VILLEPINTE - 0.0x356.0x1.15</t>
  </si>
  <si>
    <t>8027664.0:SNOP VILLEPINTE - 0.0x212.8x1.15</t>
  </si>
  <si>
    <t>8027662.0:SNOP VILLEPINTE - 0.0x101.5x1.05</t>
  </si>
  <si>
    <t>8061732.0:SNOP VILLEPINTE - 0.0x302.3x1.2</t>
  </si>
  <si>
    <t>8029911.0:SAREL APPAREILLAGE ELECTRIQUE - 0.0x821.5x1.5</t>
  </si>
  <si>
    <t>8029912.0:SAREL APPAREILLAGE ELECTRIQUE - 0.0x1046.0x1.5</t>
  </si>
  <si>
    <t>8029910.0:SAREL APPAREILLAGE ELECTRIQUE - 0.0x621.5x1.5</t>
  </si>
  <si>
    <t>8029913.0:SAREL APPAREILLAGE ELECTRIQUE - 0.0x1246.0x1.5</t>
  </si>
  <si>
    <t>8029920.0:SAREL APPAREILLAGE ELECTRIQUE - 0.0x589.0x1.8</t>
  </si>
  <si>
    <t>8029921.0:SAREL APPAREILLAGE ELECTRIQUE - 0.0x840.0x1.0</t>
  </si>
  <si>
    <t>8029930.0:SAREL APPAREILLAGE ELECTRIQUE - 0.0x1040.0x1.0</t>
  </si>
  <si>
    <t>8029917.0:SAREL APPAREILLAGE ELECTRIQUE - 0.0x989.0x1.8</t>
  </si>
  <si>
    <t>8029893.0:SAREL APPAREILLAGE ELECTRIQUE - 0.0x940.0x1.0</t>
  </si>
  <si>
    <t>8029928.0:SAREL APPAREILLAGE ELECTRIQUE - 0.0x447.0x1.0</t>
  </si>
  <si>
    <t>8029927.0:SAREL APPAREILLAGE ELECTRIQUE - 0.0x347.0x1.0</t>
  </si>
  <si>
    <t>8106250.0:GESTAMP NOURY S.A. - 0.0x157.3x1.8</t>
  </si>
  <si>
    <t>Details for : R1 serie - Postes Forecast W1</t>
  </si>
  <si>
    <t>Sum Tonnes : 391.69</t>
  </si>
  <si>
    <t>8023365.0:BAOMARC - 0.0x248.6x1.2</t>
  </si>
  <si>
    <t>Sum Postes : 2.25</t>
  </si>
  <si>
    <t>8053691.0:VIESSMANN FAULQUEMONT SAS - 0.0x630.0x2.5</t>
  </si>
  <si>
    <t>8033009.0:SIMPSON STRONG-TIE SAS - 0.0x214.0x3.0</t>
  </si>
  <si>
    <t>8114436.0:GESTAMP NOURY S.A. - 0.0x911.0x2.0</t>
  </si>
  <si>
    <t>8011976.0:MAGNA LORRAINE - 0.0x705.0x3.5</t>
  </si>
  <si>
    <t>8061680.0:SNOP VILLEPINTE - 0.0x298.8x1.05</t>
  </si>
  <si>
    <t>8068011.0:RENAULT SAS - 0.0x290.0x4.5</t>
  </si>
  <si>
    <t>8029907.0:SAREL APPAREILLAGE ELECTRIQUE - 0.0x1021.5x1.5</t>
  </si>
  <si>
    <t>8106440.0:MAGNA LORRAINE - 0.0x590.0x0.6</t>
  </si>
  <si>
    <t>Details for : R1 serie - Postes Forecast W2</t>
  </si>
  <si>
    <t>Sum Tonnes : 905.37</t>
  </si>
  <si>
    <t>8048886.0:LEBRAUT RICHARD DECOUPAGE SAS - 0.0x387.0x1.5</t>
  </si>
  <si>
    <t>Sum Postes : 6.28</t>
  </si>
  <si>
    <t>8029597.0:VIESSMANN FAULQUEMONT SAS - 0.0x576.0x3.5</t>
  </si>
  <si>
    <t>8033596.0:SIMPSON STRONG-TIE SAS - 0.0x300.0x2.5</t>
  </si>
  <si>
    <t>8040826.0:SIMPSON STRONG-TIE SAS - 0.0x120.0x2.5</t>
  </si>
  <si>
    <t>8040825.0:SIMPSON STRONG-TIE SAS - 0.0x160.0x2.5</t>
  </si>
  <si>
    <t>8048807.0:SIMPSON STRONG-TIE SAS - 0.0x600.0x2.0</t>
  </si>
  <si>
    <t>8012019.0:STEEL CENTER EUROPE S.R.O. - 0.0x158.0x4.0</t>
  </si>
  <si>
    <t>8012047.0:STEEL CENTER EUROPE S.R.O. - 0.0x218.0x4.0</t>
  </si>
  <si>
    <t>8012020.0:STEEL CENTER EUROPE S.R.O. - 0.0x312.0x4.0</t>
  </si>
  <si>
    <t>8013898.0:GESTAMP NOURY S.A. - 0.0x289.3x1.5</t>
  </si>
  <si>
    <t>8014488.0:TRICO BELGIUM SA - 0.0x120.0x1.48</t>
  </si>
  <si>
    <t>8008096.0:GESTAMP NOURY S.A. - 0.0x260.4x1.5</t>
  </si>
  <si>
    <t>8041076.0:MA SRL - 0.0x301.0x1.3</t>
  </si>
  <si>
    <t>8029922.0:SAREL APPAREILLAGE ELECTRIQUE - 0.0x1139.0x1.15</t>
  </si>
  <si>
    <t>8052108.0:SAREL APPAREILLAGE ELECTRIQUE - 0.0x150.4x1.2</t>
  </si>
  <si>
    <t>8029931.0:SAREL APPAREILLAGE ELECTRIQUE - 0.0x521.5x1.5</t>
  </si>
  <si>
    <t>8029919.0:SAREL APPAREILLAGE ELECTRIQUE - 0.0x389.0x1.8</t>
  </si>
  <si>
    <t>8029896.0:SAREL APPAREILLAGE ELECTRIQUE - 0.0x438.0x1.2</t>
  </si>
  <si>
    <t>8029895.0:SAREL APPAREILLAGE ELECTRIQUE - 0.0x846.0x1.5</t>
  </si>
  <si>
    <t>8029924.0:SAREL APPAREILLAGE ELECTRIQUE - 0.0x1039.0x1.15</t>
  </si>
  <si>
    <t>8029923.0:SAREL APPAREILLAGE ELECTRIQUE - 0.0x1239.0x1.15</t>
  </si>
  <si>
    <t>8029894.0:SAREL APPAREILLAGE ELECTRIQUE - 0.0x338.0x1.2</t>
  </si>
  <si>
    <t>8029898.0:SAREL APPAREILLAGE ELECTRIQUE - 0.0x638.0x1.2</t>
  </si>
  <si>
    <t>8029926.0:SAREL APPAREILLAGE ELECTRIQUE - 0.0x740.0x1.0</t>
  </si>
  <si>
    <t>Details for : R1 serie - Postes Forecast W3</t>
  </si>
  <si>
    <t>Sum Tonnes : 403.51</t>
  </si>
  <si>
    <t>Sum Postes : 2.54</t>
  </si>
  <si>
    <t>Details for : R1 serie - Postes Forecast W4</t>
  </si>
  <si>
    <t>Sum Tonnes : 527.44</t>
  </si>
  <si>
    <t>Sum Postes : 3.17</t>
  </si>
  <si>
    <t>8048995.0:LEBRAUT RICHARD DECOUPAGE SAS - 0.0x305.0x1.5</t>
  </si>
  <si>
    <t>8088383.0:RENAULT S.A.S - 0.0x650.0x2.0</t>
  </si>
  <si>
    <t>Details for : R1 serie - Postes Forecast W5</t>
  </si>
  <si>
    <t>Sum Tonnes : 318.02</t>
  </si>
  <si>
    <t>8033597.0:SIMPSON STRONG-TIE SAS - 0.0x200.0x3.0</t>
  </si>
  <si>
    <t>Sum Postes : 2.06</t>
  </si>
  <si>
    <t>8046458.0:SIMPSON STRONG-TIE SAS - 0.0x195.0x1.5</t>
  </si>
  <si>
    <t>8033496.0:SIMPSON STRONG-TIE SAS - 0.0x230.0x1.5</t>
  </si>
  <si>
    <t>8022968.0:BAOMARC - 0.0x304.0x1.5</t>
  </si>
  <si>
    <t>8067995.0:RENAULT SAS - 0.0x432.0x5.0</t>
  </si>
  <si>
    <t>Details for : R1 serie - Postes Forecast W6</t>
  </si>
  <si>
    <t>Sum Tonnes : 892.04</t>
  </si>
  <si>
    <t>Sum Postes : 5.8</t>
  </si>
  <si>
    <t>8022954.0:BAOMARC - 0.0x365.9x1.8</t>
  </si>
  <si>
    <t>8022983.0:BAOMARC - 0.0x248.0x2.1</t>
  </si>
  <si>
    <t>8058392.0:BAOMARC - 0.0x563.0x2.0</t>
  </si>
  <si>
    <t>8029925.0:SAREL APPAREILLAGE ELECTRIQUE - 0.0x640.0x1.0</t>
  </si>
  <si>
    <t>8052106.0:SAREL APPAREILLAGE ELECTRIQUE - 0.0x225.9x1.5</t>
  </si>
  <si>
    <t>8029901.0:SAREL APPAREILLAGE ELECTRIQUE - 0.0x839.0x1.5</t>
  </si>
  <si>
    <t>Details for : R1 serie - Postes Forecast W7</t>
  </si>
  <si>
    <t>Sum Tonnes : 399.03</t>
  </si>
  <si>
    <t>8012349.0:TRICO BELGIUM SA - 0.0x320.0x1.0</t>
  </si>
  <si>
    <t>Sum Postes : 2.66</t>
  </si>
  <si>
    <t>8012353.0:TRICO BELGIUM SA - 0.0x296.0x1.0</t>
  </si>
  <si>
    <t>Details for : R1 serie - Postes Forecast W8</t>
  </si>
  <si>
    <t>Sum Tonnes : 400.28</t>
  </si>
  <si>
    <t>8029596.0:VIESSMANN FAULQUEMONT SAS - 0.0x576.0x2.5</t>
  </si>
  <si>
    <t>Sum Postes : 2.49</t>
  </si>
  <si>
    <t>Details for : R1 proto - Postes Backlog</t>
  </si>
  <si>
    <t>Sum Tonnes : 262.08</t>
  </si>
  <si>
    <t>8111142.0:ARCELORMITTAL PROTO FLORANGE - 0.0x800.0x1.2</t>
  </si>
  <si>
    <t>Sum Postes : 7.18</t>
  </si>
  <si>
    <t>8114708.0:ARCELORMITTAL PROTO FLORANGE - 0.0x654.0x1.2</t>
  </si>
  <si>
    <t>Average Productivity : 4.73</t>
  </si>
  <si>
    <t>8111147.0:ARCELORMITTAL PROTO FLORANGE - 0.0x974.0x2.0</t>
  </si>
  <si>
    <t>8110451.0:ARCELORMITTAL PROTO FLORANGE - 0.0x250.0x1.2</t>
  </si>
  <si>
    <t>8110531.0:ARCELORMITTAL PROTO FLORANGE - 0.0x1273.0x0.73</t>
  </si>
  <si>
    <t>8111516.0:ARCELORMITTAL PROTO FLORANGE - 0.0x1192.0x5.0</t>
  </si>
  <si>
    <t>8112159.0:ARCELORMITTAL PROTO FLORANGE - 0.0x388.0x2.6</t>
  </si>
  <si>
    <t>8112627.0:ARCELORMITTAL PROTO FLORANGE - 0.0x411.0x6.0</t>
  </si>
  <si>
    <t>8111546.0:ARCELORMITTAL PROTO FLORANGE - 0.0x1170.0x0.75</t>
  </si>
  <si>
    <t>8111549.0:ARCELORMITTAL PROTO FLORANGE - 0.0x1173.0x0.75</t>
  </si>
  <si>
    <t>8111527.0:ARCELORMITTAL PROTO FLORANGE - 0.0x411.0x6.0</t>
  </si>
  <si>
    <t>8113178.0:ARCELORMITTAL PROTO FLORANGE - 0.0x570.0x1.6</t>
  </si>
  <si>
    <t>8113862.0:ARCELORMITTAL PROTO FLORANGE - 0.0x1350.0x1.5</t>
  </si>
  <si>
    <t>8113863.0:ARCELORMITTAL PROTO FLORANGE - 0.0x1300.0x1.2</t>
  </si>
  <si>
    <t>Details for : R1 proto - Postes Forecast W</t>
  </si>
  <si>
    <t>Sum Tonnes : 4.5</t>
  </si>
  <si>
    <t>8114501.0:ARCELORMITTAL PROTO FLORANGE - 0.0x306.6x1.8</t>
  </si>
  <si>
    <t>Sum Postes : 0.12</t>
  </si>
  <si>
    <t>Details for : R1 proto - Postes Forecast W1</t>
  </si>
  <si>
    <t>Sum Tonnes : 10.0</t>
  </si>
  <si>
    <t>8114315.0:ARCELORMITTAL PROTO FLORANGE - 0.0x1210.0x4.5</t>
  </si>
  <si>
    <t>Sum Postes : 0.28</t>
  </si>
  <si>
    <t>8114318.0:ARCELORMITTAL PROTO FLORANGE - 0.0x1280.0x5.0</t>
  </si>
  <si>
    <t>Details for : R1 proto - Postes Forecast W2</t>
  </si>
  <si>
    <t>Sum Tonnes : 31.0</t>
  </si>
  <si>
    <t>8112187.0:ARCELORMITTAL PROTO FLORANGE - 0.0x960.0x1.5</t>
  </si>
  <si>
    <t>Sum Postes : 0.85</t>
  </si>
  <si>
    <t>8113491.0:ARCELORMITTAL PROTO FLORANGE - 0.0x1378.0x1.7</t>
  </si>
  <si>
    <t>8114504.0:ARCELORMITTAL PROTO FLORANGE - 0.0x367.7x1.8</t>
  </si>
  <si>
    <t>8114597.0:ARCELORMITTAL PROTO FLORANGE - 0.0x213.0x1.8</t>
  </si>
  <si>
    <t>8114760.0:ARCELORMITTAL PROTO FLORANGE - 0.0x213.0x1.6</t>
  </si>
  <si>
    <t>8114761.0:ARCELORMITTAL PROTO FLORANGE - 0.0x244.5x1.6</t>
  </si>
  <si>
    <t>8114762.0:ARCELORMITTAL PROTO FLORANGE - 0.0x244.5x1.5</t>
  </si>
  <si>
    <t>Details for : R1 proto - Postes Forecast W3</t>
  </si>
  <si>
    <t>Sum Tonnes : 6.0</t>
  </si>
  <si>
    <t>8114824.0:ARCELORMITTAL PROTO FLORANGE - 0.0x1060.0x3.65</t>
  </si>
  <si>
    <t>Sum Postes : 0.16</t>
  </si>
  <si>
    <t>Details for : R1 proto - Postes Forecast W4</t>
  </si>
  <si>
    <t>Sum Tonnes : 59.0</t>
  </si>
  <si>
    <t>8114389.0:ARCELORMITTAL PROTO FLORANGE - 0.0x1215.0x3.6</t>
  </si>
  <si>
    <t>Sum Postes : 1.62</t>
  </si>
  <si>
    <t>8114400.0:ARCELORMITTAL PROTO FLORANGE - 0.0x411.0x6.0</t>
  </si>
  <si>
    <t>Details for : R1 proto - Postes Forecast W5</t>
  </si>
  <si>
    <t>Sum Tonnes : 6.4</t>
  </si>
  <si>
    <t>8111865.0:PEUGEOT CITROEN AUTOMOBILES SA - 0.0x830.0x1.4</t>
  </si>
  <si>
    <t>Sum Postes : 0.3</t>
  </si>
  <si>
    <t>8111866.0:PEUGEOT CITROEN AUTOMOBILES SA - 0.0x838.0x1.4</t>
  </si>
  <si>
    <t>Details for : R1 proto - Postes Forecast W8</t>
  </si>
  <si>
    <t>8113596.0:ARCELORMITTAL PROTO FLORANGE - 0.0x1250.0x1.6</t>
  </si>
  <si>
    <t>Sum Postes : 0.27</t>
  </si>
  <si>
    <t>Details for : R6 serie - Postes Backlog</t>
  </si>
  <si>
    <t>Sum Tonnes : 8774.01</t>
  </si>
  <si>
    <t>8045918.0:ArcelorMittal FRANCE - 0.0x1270.0x1.35</t>
  </si>
  <si>
    <t>Sum Postes : 33.41</t>
  </si>
  <si>
    <t>8055271.0:ArcelorMittal FRANCE - 0.0x1222.0x1.6</t>
  </si>
  <si>
    <t>Average Productivity : 32.74</t>
  </si>
  <si>
    <t>8016306.0:ArcelorMittal FRANCE - 0.0x840.0x1.0</t>
  </si>
  <si>
    <t>8013523.0:ArcelorMittal FRANCE - 0.0x738.0x0.65</t>
  </si>
  <si>
    <t>8018958.0:ArcelorMittal FRANCE - 0.0x822.0x1.4</t>
  </si>
  <si>
    <t>8068187.0:ArcelorMittal FRANCE - 0.0x1090.0x1.4</t>
  </si>
  <si>
    <t>8057398.0:PROFILES HB SNC - 0.0x75.0x1.5</t>
  </si>
  <si>
    <t>8068977.0:ArcelorMittal FRANCE - 0.0x843.0x1.2</t>
  </si>
  <si>
    <t>8033366.0:ArcelorMittal FRANCE - 0.0x725.0x1.6</t>
  </si>
  <si>
    <t>8069386.0:ArcelorMittal FRANCE - 0.0x672.0x1.75</t>
  </si>
  <si>
    <t>8046452.0:ArcelorMittal FRANCE - 0.0x845.0x1.0</t>
  </si>
  <si>
    <t>8017737.0:ArcelorMittal FRANCE - 0.0x820.0x1.4</t>
  </si>
  <si>
    <t>8068995.0:ArcelorMittal FRANCE - 0.0x725.0x1.28</t>
  </si>
  <si>
    <t>8057806.0:ArcelorMittal FRANCE - 0.0x792.0x1.2</t>
  </si>
  <si>
    <t>8049611.0:ArcelorMittal FRANCE - 0.0x778.0x1.6</t>
  </si>
  <si>
    <t>8059462.0:ArcelorMittal FRANCE - 0.0x828.0x1.0</t>
  </si>
  <si>
    <t>8057714.0:ArcelorMittal FRANCE - 0.0x860.0x1.2</t>
  </si>
  <si>
    <t>8059555.0:ArcelorMittal FRANCE - 0.0x760.0x1.0</t>
  </si>
  <si>
    <t>8033169.0:ArcelorMittal FRANCE - 0.0x805.0x1.2</t>
  </si>
  <si>
    <t>8070533.0:ArcelorMittal FRANCE - 0.0x905.0x1.3</t>
  </si>
  <si>
    <t>8015450.0:ArcelorMittal FRANCE - 0.0x875.0x1.17</t>
  </si>
  <si>
    <t>8067952.0:ArcelorMittal FRANCE - 0.0x708.0x1.1</t>
  </si>
  <si>
    <t>8049799.0:ArcelorMittal FRANCE - 0.0x742.0x1.8</t>
  </si>
  <si>
    <t>8059929.0:ArcelorMittal FRANCE - 0.0x841.0x1.2</t>
  </si>
  <si>
    <t>8022776.0:ArcelorMittal FRANCE - 0.0x835.0x1.3</t>
  </si>
  <si>
    <t>8069304.0:ArcelorMittal FRANCE - 0.0x880.0x1.4</t>
  </si>
  <si>
    <t>8085067.0:ArcelorMittal FRANCE - 0.0x661.0x1.75</t>
  </si>
  <si>
    <t>8012238.0:ArcelorMittal FRANCE - 0.0x691.0x0.95</t>
  </si>
  <si>
    <t>8056113.0:ArcelorMittal FRANCE - 0.0x828.0x1.3</t>
  </si>
  <si>
    <t>8085481.0:ArcelorMittal FRANCE - 0.0x790.0x1.2</t>
  </si>
  <si>
    <t>8018117.0:ArcelorMittal FRANCE - 0.0x782.0x2.0</t>
  </si>
  <si>
    <t>8014426.0:ArcelorMittal FRANCE - 0.0x810.0x0.95</t>
  </si>
  <si>
    <t>8085912.0:ArcelorMittal FRANCE - 0.0x855.0x1.5</t>
  </si>
  <si>
    <t>8048714.0:ArcelorMittal FRANCE - 0.0x730.0x1.25</t>
  </si>
  <si>
    <t>8087343.0:ArcelorMittal FRANCE - 0.0x672.0x1.75</t>
  </si>
  <si>
    <t>8087393.0:ArcelorMittal FRANCE - 0.0x782.0x2.0</t>
  </si>
  <si>
    <t>8087752.0:ArcelorMittal FRANCE - 0.0x634.0x1.15</t>
  </si>
  <si>
    <t>8087892.0:ArcelorMittal FRANCE - 0.0x822.0x1.4</t>
  </si>
  <si>
    <t>8087745.0:ArcelorMittal FRANCE - 0.0x1633.0x0.66</t>
  </si>
  <si>
    <t>8087754.0:ArcelorMittal FRANCE - 0.0x866.0x1.0</t>
  </si>
  <si>
    <t>8087737.0:ArcelorMittal FRANCE - 0.0x800.0x1.5</t>
  </si>
  <si>
    <t>8088443.0:ArcelorMittal FRANCE - 0.0x880.0x1.4</t>
  </si>
  <si>
    <t>8088589.0:ArcelorMittal FRANCE - 0.0x810.0x0.95</t>
  </si>
  <si>
    <t>8088738.0:ArcelorMittal FRANCE - 0.0x820.0x1.4</t>
  </si>
  <si>
    <t>8088588.0:ArcelorMittal FRANCE - 0.0x810.0x0.95</t>
  </si>
  <si>
    <t>8088955.0:ArcelorMittal FRANCE - 0.0x860.0x1.2</t>
  </si>
  <si>
    <t>8088954.0:ArcelorMittal FRANCE - 0.0x810.0x0.95</t>
  </si>
  <si>
    <t>8088953.0:ArcelorMittal FRANCE - 0.0x693.0x0.95</t>
  </si>
  <si>
    <t>8089231.0:ArcelorMittal FRANCE - 0.0x810.0x0.95</t>
  </si>
  <si>
    <t>8089438.0:ArcelorMittal FRANCE - 0.0x818.0x1.2</t>
  </si>
  <si>
    <t>8087749.0:ArcelorMittal FRANCE - 0.0x883.0x1.5</t>
  </si>
  <si>
    <t>8088445.0:ArcelorMittal FRANCE - 0.0x835.0x1.3</t>
  </si>
  <si>
    <t>8089572.0:ArcelorMittal FRANCE - 0.0x822.0x1.4</t>
  </si>
  <si>
    <t>8089558.0:ArcelorMittal FRANCE - 0.0x880.0x1.4</t>
  </si>
  <si>
    <t>8089477.0:ArcelorMittal FRANCE - 0.0x834.0x1.0</t>
  </si>
  <si>
    <t>8086645.0:ArcelorMittal FRANCE - 0.0x804.0x2.0</t>
  </si>
  <si>
    <t>8089687.0:ArcelorMittal FRANCE - 0.0x875.0x1.17</t>
  </si>
  <si>
    <t>8087318.0:ArcelorMittal FRANCE - 0.0x794.0x1.2</t>
  </si>
  <si>
    <t>8089358.0:ArcelorMittal FRANCE - 0.0x820.0x1.4</t>
  </si>
  <si>
    <t>8090283.0:ArcelorMittal FRANCE - 0.0x835.0x1.3</t>
  </si>
  <si>
    <t>8090274.0:ArcelorMittal FRANCE - 0.0x777.0x1.0</t>
  </si>
  <si>
    <t>8088439.0:ArcelorMittal FRANCE - 0.0x738.0x0.65</t>
  </si>
  <si>
    <t>8089918.0:ArcelorMittal FRANCE - 0.0x880.0x0.5</t>
  </si>
  <si>
    <t>8089812.0:ArcelorMittal FRANCE - 0.0x691.0x0.95</t>
  </si>
  <si>
    <t>8090113.0:ArcelorMittal FRANCE - 0.0x845.0x0.8</t>
  </si>
  <si>
    <t>8090112.0:ArcelorMittal FRANCE - 0.0x885.0x0.8</t>
  </si>
  <si>
    <t>8087317.0:ArcelorMittal FRANCE - 0.0x760.0x1.0</t>
  </si>
  <si>
    <t>8090942.0:ArcelorMittal FRANCE - 0.0x862.0x1.6</t>
  </si>
  <si>
    <t>8090999.0:ArcelorMittal FRANCE - 0.0x860.0x1.2</t>
  </si>
  <si>
    <t>8089692.0:ArcelorMittal FRANCE - 0.0x782.0x2.0</t>
  </si>
  <si>
    <t>8104900.0:ArcelorMittal FRANCE - 0.0x661.0x1.75</t>
  </si>
  <si>
    <t>8090282.0:ArcelorMittal FRANCE - 0.0x730.0x1.25</t>
  </si>
  <si>
    <t>8090275.0:ArcelorMittal FRANCE - 0.0x773.0x0.8</t>
  </si>
  <si>
    <t>8105883.0:ArcelorMittal FRANCE - 0.0x879.0x1.0</t>
  </si>
  <si>
    <t>8089319.0:ArcelorMittal FRANCE - 0.0x885.0x1.8</t>
  </si>
  <si>
    <t>8107017.0:ArcelorMittal FRANCE - 0.0x900.0x1.0</t>
  </si>
  <si>
    <t>8013657.0:Häseler Metall technik GmbH - 0.0x280.0x0.7</t>
  </si>
  <si>
    <t>8105389.0:ArcelorMittal FRANCE - 0.0x883.0x1.5</t>
  </si>
  <si>
    <t>8087732.0:ArcelorMittal FRANCE - 0.0x800.0x1.3</t>
  </si>
  <si>
    <t>8108340.0:ArcelorMittal FRANCE - 0.0x990.0x1.7</t>
  </si>
  <si>
    <t>8087392.0:ArcelorMittal FRANCE - 0.0x828.0x1.3</t>
  </si>
  <si>
    <t>8108777.0:ArcelorMittal FRANCE - 0.0x865.0x2.0</t>
  </si>
  <si>
    <t>8108810.0:ArcelorMittal FRANCE - 0.0x921.0x1.2</t>
  </si>
  <si>
    <t>8109735.0:ArcelorMittal FRANCE - 0.0x730.0x1.5</t>
  </si>
  <si>
    <t>8110622.0:ArcelorMittal FRANCE - 0.0x880.0x1.2</t>
  </si>
  <si>
    <t>8110915.0:ArcelorMittal FRANCE - 0.0x820.0x1.2</t>
  </si>
  <si>
    <t>8089514.0:ArcelorMittal FRANCE - 0.0x828.0x1.0</t>
  </si>
  <si>
    <t>8089688.0:ArcelorMittal FRANCE - 0.0x708.0x1.1</t>
  </si>
  <si>
    <t>8111437.0:ArcelorMittal FRANCE - 0.0x800.0x2.05</t>
  </si>
  <si>
    <t>8110801.0:ArcelorMittal FRANCE - 0.0x850.0x1.8</t>
  </si>
  <si>
    <t>8091014.0:ArcelorMittal FRANCE - 0.0x830.0x1.75</t>
  </si>
  <si>
    <t>8110742.0:ArcelorMittal FRANCE - 0.0x895.0x1.2</t>
  </si>
  <si>
    <t>8112617.0:ArcelorMittal FRANCE - 0.0x856.0x2.0</t>
  </si>
  <si>
    <t>8087753.0:ArcelorMittal FRANCE - 0.0x634.0x1.15</t>
  </si>
  <si>
    <t>8112616.0:ArcelorMittal FRANCE - 0.0x805.0x1.5</t>
  </si>
  <si>
    <t>8113227.0:ArcelorMittal FRANCE - 0.0x816.0x1.5</t>
  </si>
  <si>
    <t>8113496.0:ArcelorMittal FRANCE - 0.0x730.0x1.25</t>
  </si>
  <si>
    <t>8113794.0:ArcelorMittal FRANCE - 0.0x740.0x1.5</t>
  </si>
  <si>
    <t>8114541.0:ARCELORMITTAL TB LORRAINE SAS - 0.0x485.0x2.1</t>
  </si>
  <si>
    <t>8114425.0:ArcelorMittal FRANCE - 0.0x778.0x1.6</t>
  </si>
  <si>
    <t>8011972.0:TRICO BELGIUM SA - 0.0x270.0x2.0</t>
  </si>
  <si>
    <t>8015927.0:TRICO BELGIUM SA - 0.0x332.0x2.0</t>
  </si>
  <si>
    <t>8022750.0:ARCELORMITTAL TB LORRAINE SAS - 0.0x521.0x1.6</t>
  </si>
  <si>
    <t>8055856.0:NPL SASU - 0.0x130.0x2.0</t>
  </si>
  <si>
    <t>8056282.0:NPL SASU - 0.0x514.0x2.5</t>
  </si>
  <si>
    <t>8108338.0:ARCELORMITTAL TB LORRAINE SAS - 0.0x419.0x1.4</t>
  </si>
  <si>
    <t>Details for : R6 serie - Postes Forecast W</t>
  </si>
  <si>
    <t>Sum Tonnes : 516.03</t>
  </si>
  <si>
    <t>Sum Postes : 2.39</t>
  </si>
  <si>
    <t>8114438.0:GESTAMP NOURY S.A. - 0.0x296.2x1.8</t>
  </si>
  <si>
    <t>8012271.0:BAOMARC - 0.0x177.7x0.8</t>
  </si>
  <si>
    <t>8011852.0:BAOMARC - 0.0x193.1x1.2</t>
  </si>
  <si>
    <t>8011924.0:BAOMARC - 0.0x497.8x1.5</t>
  </si>
  <si>
    <t>8012088.0:UNIPRES MAGNETTO CORPORATION - 0.0x707.0x1.8</t>
  </si>
  <si>
    <t>8012089.0:UNIPRES MAGNETTO CORPORATION - 0.0x663.0x1.8</t>
  </si>
  <si>
    <t>8012107.0:UNIPRES MAGNETTO CORPORATION - 0.0x1054.0x1.6</t>
  </si>
  <si>
    <t>8012108.0:UNIPRES MAGNETTO CORPORATION - 0.0x850.0x1.4</t>
  </si>
  <si>
    <t>8012114.0:UNIPRES MAGNETTO CORPORATION - 0.0x1500.0x1.2</t>
  </si>
  <si>
    <t>8013650.0:EUROSTAMP S.A - 0.0x480.0x2.2</t>
  </si>
  <si>
    <t>8014244.0:SNOP VILLEPINTE - 0.0x207.8x1.15</t>
  </si>
  <si>
    <t>8014246.0:SNOP VILLEPINTE - 0.0x65.5x1.5</t>
  </si>
  <si>
    <t>8012383.0:WAGON AUTOMOTIVE - 0.0x650.0x0.75</t>
  </si>
  <si>
    <t>8014863.0:UNIPRES MAGNETTO CORPORATION - 0.0x1600.0x1.2</t>
  </si>
  <si>
    <t>8014734.0:UNIPRES MAGNETTO CORPORATION - 0.0x755.0x2.2</t>
  </si>
  <si>
    <t>8016361.0:ARCELORMITTAL TB LORRAINE SAS - 0.0x335.0x0.8</t>
  </si>
  <si>
    <t>8012090.0:UNIPRES MAGNETTO CORPORATION - 0.0x903.0x1.4</t>
  </si>
  <si>
    <t>8023002.0:BAOMARC - 0.0x205.8x1.2</t>
  </si>
  <si>
    <t>8014842.0:MAGNA LORRAINE - 0.0x178.0x1.35</t>
  </si>
  <si>
    <t>8012371.0:MAGNA LORRAINE - 0.0x283.0x1.05</t>
  </si>
  <si>
    <t>8091293.0:MAGNA LORRAINE - 0.0x710.0x0.95</t>
  </si>
  <si>
    <t>Details for : R6 serie - Postes Forecast W1</t>
  </si>
  <si>
    <t>Sum Tonnes : 417.94</t>
  </si>
  <si>
    <t>8028440.0:VIESSMANN FAULQUEMONT SAS - 0.0x103.1x1.5</t>
  </si>
  <si>
    <t>Sum Postes : 2.88</t>
  </si>
  <si>
    <t>8012273.0:BAOMARC - 0.0x371.0x1.5</t>
  </si>
  <si>
    <t>8012274.0:BAOMARC - 0.0x286.7x1.5</t>
  </si>
  <si>
    <t>8011863.0:BAOMARC - 0.0x276.5x1.5</t>
  </si>
  <si>
    <t>8013865.0:GESTAMP NOURY S.A. - 0.0x280.4x1.05</t>
  </si>
  <si>
    <t>8012110.0:UNIPRES MAGNETTO CORPORATION - 0.0x1080.0x1.8</t>
  </si>
  <si>
    <t>8012111.0:UNIPRES MAGNETTO CORPORATION - 0.0x1243.0x1.0</t>
  </si>
  <si>
    <t>8011958.0:EUROSTAMP S.A - 0.0x485.0x2.0</t>
  </si>
  <si>
    <t>8013920.0:MAGNA LORRAINE - 0.0x450.0x1.3</t>
  </si>
  <si>
    <t>8014336.0:SNOP VILLEPINTE - 0.0x106.8x1.05</t>
  </si>
  <si>
    <t>8058635.0:MAGNA LORRAINE - 0.0x690.0x1.15</t>
  </si>
  <si>
    <t>8058636.0:MAGNA LORRAINE - 0.0x510.0x0.6</t>
  </si>
  <si>
    <t>8086194.0:MA POLSKA - 0.0x184.3x1.6</t>
  </si>
  <si>
    <t>8086196.0:MA POLSKA - 0.0x227.5x1.6</t>
  </si>
  <si>
    <t>8088347.0:RENAULT S.A.S - 0.0x505.0x2.0</t>
  </si>
  <si>
    <t>8088356.0:RENAULT S.A.S - 0.0x390.0x0.65</t>
  </si>
  <si>
    <t>Details for : R6 serie - Postes Forecast W2</t>
  </si>
  <si>
    <t>Sum Tonnes : 486.75</t>
  </si>
  <si>
    <t>Sum Postes : 2.53</t>
  </si>
  <si>
    <t>8088484.0:ArcelorMittal FRANCE - 0.0x877.0x1.2</t>
  </si>
  <si>
    <t>8011891.0:BAOMARC - 0.0x566.8x1.9</t>
  </si>
  <si>
    <t>8012074.0:GESTAMP NOURY S.A. - 0.0x912.0x1.2</t>
  </si>
  <si>
    <t>8012106.0:UNIPRES MAGNETTO CORPORATION - 0.0x950.0x1.4</t>
  </si>
  <si>
    <t>8012109.0:UNIPRES MAGNETTO CORPORATION - 0.0x742.0x1.8</t>
  </si>
  <si>
    <t>8012243.0:UNIPRES MAGNETTO CORPORATION - 0.0x875.0x1.8</t>
  </si>
  <si>
    <t>8012112.0:UNIPRES MAGNETTO CORPORATION - 0.0x969.0x1.2</t>
  </si>
  <si>
    <t>8013889.0:GESTAMP NOURY S.A. - 0.0x226.5x1.6</t>
  </si>
  <si>
    <t>8011899.0:SNOP VILLEPINTE - 0.0x190.0x1.45</t>
  </si>
  <si>
    <t>8022350.0:MAGNA LORRAINE - 0.0x675.0x1.25</t>
  </si>
  <si>
    <t>8068165.0:MAGNA LORRAINE - 0.0x815.0x0.6</t>
  </si>
  <si>
    <t>8083082.0:RENAULT S.A.S - 0.0x530.0x2.0</t>
  </si>
  <si>
    <t>8083083.0:RENAULT S.A.S - 0.0x725.0x0.65</t>
  </si>
  <si>
    <t>Details for : R6 serie - Postes Forecast W3</t>
  </si>
  <si>
    <t>Sum Tonnes : 608.56</t>
  </si>
  <si>
    <t>8091318.0:PLACOPLATRE SA - 0.0x100.0x0.52</t>
  </si>
  <si>
    <t>Sum Postes : 3.56</t>
  </si>
  <si>
    <t>8012005.0:ARCELORMITTAL TB LORRAINE SAS - 0.0x390.0x1.2</t>
  </si>
  <si>
    <t>8088367.0:RENAULT S.A.S - 0.0x375.0x1.0</t>
  </si>
  <si>
    <t>Details for : R6 serie - Postes Forecast W4</t>
  </si>
  <si>
    <t>Sum Tonnes : 307.7</t>
  </si>
  <si>
    <t>Sum Postes : 1.33</t>
  </si>
  <si>
    <t>8011849.0:BAOMARC - 0.0x120.0x1.2</t>
  </si>
  <si>
    <t>8011914.0:MAGNA LORRAINE - 0.0x652.0x1.5</t>
  </si>
  <si>
    <t>8011839.0:UNIPRES MAGNETTO CORPORATION - 0.0x217.0x1.8</t>
  </si>
  <si>
    <t>Details for : R6 serie - Postes Forecast W5</t>
  </si>
  <si>
    <t>Sum Tonnes : 513.63</t>
  </si>
  <si>
    <t>Sum Postes : 2.45</t>
  </si>
  <si>
    <t>8022953.0:BAOMARC - 0.0x330.3x1.8</t>
  </si>
  <si>
    <t>Details for : R6 serie - Postes Forecast W6</t>
  </si>
  <si>
    <t>Sum Tonnes : 383.92</t>
  </si>
  <si>
    <t>8114594.0:ArcelorMittal FRANCE - 0.0x809.0x1.9</t>
  </si>
  <si>
    <t>Sum Postes : 2.03</t>
  </si>
  <si>
    <t>8011922.0:BAOMARC - 0.0x211.2x0.75</t>
  </si>
  <si>
    <t>8011919.0:BAOMARC - 0.0x185.0x1.3</t>
  </si>
  <si>
    <t>8022982.0:BAOMARC - 0.0x204.5x1.1</t>
  </si>
  <si>
    <t>Details for : R6 serie - Postes Forecast W7</t>
  </si>
  <si>
    <t>Sum Tonnes : 322.07</t>
  </si>
  <si>
    <t>Sum Postes : 1.7</t>
  </si>
  <si>
    <t>Details for : R6 serie - Postes Forecast W8</t>
  </si>
  <si>
    <t>Sum Tonnes : 335.57</t>
  </si>
  <si>
    <t>Sum Postes : 2.34</t>
  </si>
  <si>
    <t>8011893.0:EUROSTAMP S.A - 0.0x790.0x0.65</t>
  </si>
  <si>
    <t>Details for : R6 proto - Postes Backlog</t>
  </si>
  <si>
    <t>Sum Tonnes : 0.69</t>
  </si>
  <si>
    <t>8110558.0:ARCELORMITTAL PROTO FLORANGE - 0.0x853.0x1.6</t>
  </si>
  <si>
    <t>Sum Postes : 0.02</t>
  </si>
  <si>
    <t>Details for : R6 proto - Postes Forecast W</t>
  </si>
  <si>
    <t>Sum Tonnes : 7.0</t>
  </si>
  <si>
    <t>8112179.0:ARCELORMITTAL PROTO FLORANGE - 0.0x1520.0x0.95</t>
  </si>
  <si>
    <t>Sum Postes : 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</si>
</sst>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56">
    <xf numFmtId="0" fontId="0" fillId="0" borderId="0" xfId="0"/>
    <xf numFmtId="2" fontId="0" fillId="0" borderId="0" xfId="0" applyNumberFormat="1"/>
    <xf numFmtId="0" fontId="0" fillId="5" borderId="8" xfId="0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2" fontId="0" fillId="0" borderId="7" xfId="0" applyNumberFormat="1" applyBorder="1"/>
    <xf numFmtId="0" fontId="0" fillId="0" borderId="2" xfId="0" applyBorder="1"/>
    <xf numFmtId="0" fontId="0" fillId="0" borderId="3" xfId="0" applyBorder="1"/>
    <xf numFmtId="2" fontId="0" fillId="0" borderId="9" xfId="0" applyNumberFormat="1" applyBorder="1"/>
    <xf numFmtId="2" fontId="0" fillId="2" borderId="12" xfId="0" applyNumberFormat="1" applyFill="1" applyBorder="1" applyAlignment="1">
      <alignment horizontal="center" vertical="center"/>
    </xf>
    <xf numFmtId="2" fontId="0" fillId="2" borderId="13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2" fontId="0" fillId="4" borderId="12" xfId="0" applyNumberFormat="1" applyFill="1" applyBorder="1" applyAlignment="1">
      <alignment horizontal="center" vertical="center"/>
    </xf>
    <xf numFmtId="2" fontId="0" fillId="4" borderId="13" xfId="0" applyNumberFormat="1" applyFill="1" applyBorder="1" applyAlignment="1">
      <alignment horizontal="center" vertical="center"/>
    </xf>
    <xf numFmtId="2" fontId="0" fillId="0" borderId="10" xfId="0" applyNumberFormat="1" applyBorder="1"/>
    <xf numFmtId="2" fontId="0" fillId="6" borderId="11" xfId="0" applyNumberFormat="1" applyFill="1" applyBorder="1"/>
    <xf numFmtId="2" fontId="0" fillId="6" borderId="1" xfId="0" applyNumberFormat="1" applyFill="1" applyBorder="1" applyAlignment="1">
      <alignment horizontal="center" vertical="center"/>
    </xf>
    <xf numFmtId="2" fontId="0" fillId="6" borderId="4" xfId="0" applyNumberFormat="1" applyFill="1" applyBorder="1" applyAlignment="1">
      <alignment horizontal="center" vertical="center"/>
    </xf>
    <xf numFmtId="2" fontId="0" fillId="7" borderId="8" xfId="0" applyNumberFormat="1" applyFill="1" applyBorder="1"/>
    <xf numFmtId="2" fontId="0" fillId="7" borderId="12" xfId="0" applyNumberFormat="1" applyFill="1" applyBorder="1" applyAlignment="1">
      <alignment horizontal="center" vertical="center"/>
    </xf>
    <xf numFmtId="2" fontId="0" fillId="7" borderId="13" xfId="0" applyNumberFormat="1" applyFill="1" applyBorder="1" applyAlignment="1">
      <alignment horizontal="center" vertical="center"/>
    </xf>
    <xf numFmtId="2" fontId="0" fillId="0" borderId="7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6" borderId="7" xfId="0" applyNumberFormat="1" applyFill="1" applyBorder="1"/>
    <xf numFmtId="2" fontId="0" fillId="6" borderId="5" xfId="0" applyNumberFormat="1" applyFill="1" applyBorder="1" applyAlignment="1">
      <alignment horizontal="center" vertical="center"/>
    </xf>
    <xf numFmtId="2" fontId="0" fillId="6" borderId="6" xfId="0" applyNumberFormat="1" applyFill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4" fillId="8" borderId="18" xfId="0" applyFont="1" applyFill="1" applyBorder="1"/>
    <xf numFmtId="0" fontId="4" fillId="8" borderId="15" xfId="0" applyFont="1" applyFill="1" applyBorder="1"/>
    <xf numFmtId="0" fontId="4" fillId="8" borderId="21" xfId="0" applyFont="1" applyFill="1" applyBorder="1"/>
    <xf numFmtId="0" fontId="0" fillId="9" borderId="20" xfId="0" applyFill="1" applyBorder="1"/>
    <xf numFmtId="0" fontId="0" fillId="0" borderId="14" xfId="0" applyBorder="1"/>
    <xf numFmtId="0" fontId="0" fillId="0" borderId="17" xfId="0" applyBorder="1"/>
    <xf numFmtId="0" fontId="4" fillId="10" borderId="14" xfId="0" applyFont="1" applyFill="1" applyBorder="1"/>
    <xf numFmtId="0" fontId="4" fillId="10" borderId="17" xfId="0" applyFont="1" applyFill="1" applyBorder="1"/>
    <xf numFmtId="0" fontId="0" fillId="0" borderId="20" xfId="0" applyBorder="1"/>
    <xf numFmtId="0" fontId="4" fillId="11" borderId="14" xfId="0" applyFont="1" applyFill="1" applyBorder="1"/>
    <xf numFmtId="0" fontId="4" fillId="11" borderId="17" xfId="0" applyFont="1" applyFill="1" applyBorder="1"/>
    <xf numFmtId="0" fontId="0" fillId="0" borderId="19" xfId="0" applyBorder="1"/>
    <xf numFmtId="0" fontId="0" fillId="0" borderId="16" xfId="0" applyBorder="1"/>
    <xf numFmtId="0" fontId="0" fillId="0" borderId="22" xfId="0" applyBorder="1"/>
    <xf numFmtId="0" fontId="0" fillId="9" borderId="19" xfId="0" applyFill="1" applyBorder="1"/>
    <xf numFmtId="0" fontId="4" fillId="11" borderId="16" xfId="0" applyFont="1" applyFill="1" applyBorder="1"/>
    <xf numFmtId="0" fontId="4" fillId="11" borderId="22" xfId="0" applyFont="1" applyFill="1" applyBorder="1"/>
    <xf numFmtId="0" fontId="4" fillId="10" borderId="16" xfId="0" applyFont="1" applyFill="1" applyBorder="1"/>
    <xf numFmtId="0" fontId="4" fillId="10" borderId="22" xfId="0" applyFont="1" applyFill="1" applyBorder="1"/>
    <xf numFmtId="2" fontId="0" fillId="4" borderId="11" xfId="0" applyNumberFormat="1" applyFill="1" applyBorder="1" applyAlignment="1">
      <alignment horizontal="center"/>
    </xf>
    <xf numFmtId="0" fontId="0" fillId="0" borderId="4" xfId="0" applyBorder="1"/>
    <xf numFmtId="0" fontId="0" fillId="5" borderId="11" xfId="0" applyFill="1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</cellXfs>
  <cellStyles count="2">
    <cellStyle name="Lien hypertexte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T27"/>
  <sheetViews>
    <sheetView tabSelected="1" zoomScaleNormal="100" workbookViewId="0">
      <pane xSplit="1" topLeftCell="B1" activePane="topRight" state="frozen"/>
      <selection pane="topRight" activeCell="D21" sqref="D21"/>
    </sheetView>
  </sheetViews>
  <sheetFormatPr baseColWidth="10" defaultColWidth="8.88671875" defaultRowHeight="14.4" x14ac:dyDescent="0.3"/>
  <cols>
    <col min="1" max="1" width="8.88671875" style="1" customWidth="1"/>
    <col min="2" max="2" width="9.109375" style="1" customWidth="1"/>
    <col min="3" max="3" width="13.44140625" style="1" customWidth="1"/>
    <col min="4" max="4" width="17.6640625" style="1" customWidth="1"/>
    <col min="5" max="5" width="21.33203125" style="1" customWidth="1"/>
    <col min="6" max="6" width="12.109375" style="1" customWidth="1"/>
    <col min="7" max="7" width="18.77734375" style="1" customWidth="1"/>
    <col min="8" max="8" width="8.88671875" style="1" customWidth="1"/>
    <col min="9" max="9" width="9" style="1" bestFit="1" customWidth="1"/>
    <col min="10" max="10" width="8.88671875" style="1" customWidth="1"/>
    <col min="11" max="11" width="9" style="1" bestFit="1" customWidth="1"/>
    <col min="12" max="12" width="8.88671875" style="1" customWidth="1"/>
    <col min="13" max="13" width="9" style="1" bestFit="1" customWidth="1"/>
    <col min="14" max="14" width="8.88671875" style="1" customWidth="1"/>
    <col min="15" max="15" width="9" style="1" bestFit="1" customWidth="1"/>
    <col min="16" max="16" width="8.88671875" style="1" customWidth="1"/>
    <col min="17" max="17" width="9" style="1" bestFit="1" customWidth="1"/>
    <col min="18" max="18" width="8.88671875" style="1" customWidth="1"/>
    <col min="19" max="19" width="9" style="1" bestFit="1" customWidth="1"/>
    <col min="20" max="20" width="8.88671875" style="1" customWidth="1"/>
    <col min="21" max="21" width="9" style="1" bestFit="1" customWidth="1"/>
    <col min="22" max="22" width="13" style="1" hidden="1" customWidth="1"/>
    <col min="23" max="35" width="8.88671875" style="1" customWidth="1"/>
    <col min="36" max="16384" width="8.88671875" style="1"/>
  </cols>
  <sheetData>
    <row r="1" spans="1:22" ht="15" customHeight="1" thickBot="1" x14ac:dyDescent="0.35"/>
    <row r="2" spans="1:22" ht="15" customHeight="1" thickBot="1" x14ac:dyDescent="0.35">
      <c r="B2" s="53" t="s">
        <v>0</v>
      </c>
      <c r="C2" s="51"/>
      <c r="D2" s="54" t="s">
        <v>1</v>
      </c>
      <c r="E2" s="51"/>
      <c r="F2" s="50" t="s">
        <v>2</v>
      </c>
      <c r="G2" s="51"/>
      <c r="H2" s="50" t="s">
        <v>3</v>
      </c>
      <c r="I2" s="51"/>
      <c r="J2" s="50" t="s">
        <v>4</v>
      </c>
      <c r="K2" s="51"/>
      <c r="L2" s="50" t="s">
        <v>5</v>
      </c>
      <c r="M2" s="51"/>
      <c r="N2" s="50" t="s">
        <v>6</v>
      </c>
      <c r="O2" s="51"/>
      <c r="P2" s="50" t="s">
        <v>7</v>
      </c>
      <c r="Q2" s="51"/>
      <c r="R2" s="50" t="s">
        <v>8</v>
      </c>
      <c r="S2" s="51"/>
      <c r="T2" s="50" t="s">
        <v>9</v>
      </c>
      <c r="U2" s="51"/>
    </row>
    <row r="3" spans="1:22" ht="15" customHeight="1" thickBot="1" x14ac:dyDescent="0.35">
      <c r="B3" s="9" t="s">
        <v>10</v>
      </c>
      <c r="C3" s="10" t="s">
        <v>11</v>
      </c>
      <c r="D3" s="11" t="s">
        <v>10</v>
      </c>
      <c r="E3" s="12" t="s">
        <v>11</v>
      </c>
      <c r="F3" s="13" t="s">
        <v>10</v>
      </c>
      <c r="G3" s="14" t="s">
        <v>11</v>
      </c>
      <c r="H3" s="13" t="s">
        <v>10</v>
      </c>
      <c r="I3" s="14" t="s">
        <v>11</v>
      </c>
      <c r="J3" s="13" t="s">
        <v>10</v>
      </c>
      <c r="K3" s="14" t="s">
        <v>11</v>
      </c>
      <c r="L3" s="13" t="s">
        <v>10</v>
      </c>
      <c r="M3" s="14" t="s">
        <v>11</v>
      </c>
      <c r="N3" s="13" t="s">
        <v>10</v>
      </c>
      <c r="O3" s="14" t="s">
        <v>11</v>
      </c>
      <c r="P3" s="13" t="s">
        <v>10</v>
      </c>
      <c r="Q3" s="14" t="s">
        <v>11</v>
      </c>
      <c r="R3" s="13" t="s">
        <v>10</v>
      </c>
      <c r="S3" s="14" t="s">
        <v>11</v>
      </c>
      <c r="T3" s="13" t="s">
        <v>10</v>
      </c>
      <c r="U3" s="14" t="s">
        <v>11</v>
      </c>
    </row>
    <row r="4" spans="1:22" x14ac:dyDescent="0.3">
      <c r="A4" s="16" t="s">
        <v>12</v>
      </c>
      <c r="B4" s="17">
        <v>40.47</v>
      </c>
      <c r="C4" s="18">
        <v>7595.14</v>
      </c>
      <c r="D4" s="17">
        <v>2.69</v>
      </c>
      <c r="E4" s="18">
        <v>109.78</v>
      </c>
      <c r="F4" s="17">
        <v>6.26</v>
      </c>
      <c r="G4" s="18">
        <v>333.02</v>
      </c>
      <c r="H4" s="17">
        <v>8.18</v>
      </c>
      <c r="I4" s="18">
        <v>394.8</v>
      </c>
      <c r="J4" s="17">
        <v>2.86</v>
      </c>
      <c r="K4" s="18">
        <v>192.34</v>
      </c>
      <c r="L4" s="17">
        <v>3.77</v>
      </c>
      <c r="M4" s="18">
        <v>216.08</v>
      </c>
      <c r="N4" s="17">
        <v>4.21</v>
      </c>
      <c r="O4" s="18">
        <v>280.60000000000002</v>
      </c>
      <c r="P4" s="17">
        <v>6.58</v>
      </c>
      <c r="Q4" s="18">
        <v>327.68</v>
      </c>
      <c r="R4" s="17">
        <v>3.36</v>
      </c>
      <c r="S4" s="18">
        <v>172.08</v>
      </c>
      <c r="T4" s="17">
        <v>4.47</v>
      </c>
      <c r="U4" s="18">
        <v>286.58999999999997</v>
      </c>
      <c r="V4" s="1">
        <v>254.3</v>
      </c>
    </row>
    <row r="5" spans="1:22" s="24" customFormat="1" x14ac:dyDescent="0.3">
      <c r="A5" s="22" t="s">
        <v>13</v>
      </c>
      <c r="B5" s="28">
        <v>37.619999999999997</v>
      </c>
      <c r="C5" s="29">
        <v>7491.95</v>
      </c>
      <c r="D5" s="28">
        <v>2.1</v>
      </c>
      <c r="E5" s="29">
        <v>92</v>
      </c>
      <c r="F5" s="28">
        <v>4.28</v>
      </c>
      <c r="G5" s="29">
        <v>261.20999999999998</v>
      </c>
      <c r="H5" s="28">
        <v>8.17</v>
      </c>
      <c r="I5" s="29">
        <v>394.12</v>
      </c>
      <c r="J5" s="28">
        <v>2.8</v>
      </c>
      <c r="K5" s="29">
        <v>190.33</v>
      </c>
      <c r="L5" s="28">
        <v>3.77</v>
      </c>
      <c r="M5" s="29">
        <v>216.08</v>
      </c>
      <c r="N5" s="28">
        <v>4.21</v>
      </c>
      <c r="O5" s="29">
        <v>280.60000000000002</v>
      </c>
      <c r="P5" s="28">
        <v>5.69</v>
      </c>
      <c r="Q5" s="29">
        <v>295.39999999999998</v>
      </c>
      <c r="R5" s="28">
        <v>3.36</v>
      </c>
      <c r="S5" s="29">
        <v>172.08</v>
      </c>
      <c r="T5" s="28">
        <v>3.58</v>
      </c>
      <c r="U5" s="29">
        <v>254.3</v>
      </c>
      <c r="V5" s="23">
        <v>254.3</v>
      </c>
    </row>
    <row r="6" spans="1:22" s="24" customFormat="1" x14ac:dyDescent="0.3">
      <c r="A6" s="22" t="s">
        <v>14</v>
      </c>
      <c r="B6" s="28">
        <v>2.85</v>
      </c>
      <c r="C6" s="30">
        <v>103.19</v>
      </c>
      <c r="D6" s="28">
        <v>0.59</v>
      </c>
      <c r="E6" s="29">
        <v>17.78</v>
      </c>
      <c r="F6" s="28">
        <v>1.98</v>
      </c>
      <c r="G6" s="29">
        <v>71.8</v>
      </c>
      <c r="H6" s="28">
        <v>0.01</v>
      </c>
      <c r="I6" s="29">
        <v>0.68</v>
      </c>
      <c r="J6" s="28">
        <v>0.06</v>
      </c>
      <c r="K6" s="29">
        <v>2.0099999999999998</v>
      </c>
      <c r="L6" s="28">
        <v>0</v>
      </c>
      <c r="M6" s="29">
        <v>0</v>
      </c>
      <c r="N6" s="28">
        <v>0</v>
      </c>
      <c r="O6" s="29">
        <v>0</v>
      </c>
      <c r="P6" s="28">
        <v>0.89</v>
      </c>
      <c r="Q6" s="29">
        <v>32.28</v>
      </c>
      <c r="R6" s="28">
        <v>0</v>
      </c>
      <c r="S6" s="29">
        <v>0</v>
      </c>
      <c r="T6" s="28">
        <v>0.89</v>
      </c>
      <c r="U6" s="29">
        <v>32.28</v>
      </c>
      <c r="V6" s="23">
        <v>32.28</v>
      </c>
    </row>
    <row r="7" spans="1:22" x14ac:dyDescent="0.3">
      <c r="A7" s="25" t="s">
        <v>15</v>
      </c>
      <c r="B7" s="26">
        <v>6.46</v>
      </c>
      <c r="C7" s="27">
        <v>178.38</v>
      </c>
      <c r="D7" s="26">
        <v>0.62</v>
      </c>
      <c r="E7" s="27">
        <v>23.45</v>
      </c>
      <c r="F7" s="26">
        <v>0</v>
      </c>
      <c r="G7" s="27">
        <v>0</v>
      </c>
      <c r="H7" s="26">
        <v>5</v>
      </c>
      <c r="I7" s="27">
        <v>31.88</v>
      </c>
      <c r="J7" s="26">
        <v>0</v>
      </c>
      <c r="K7" s="27">
        <v>0</v>
      </c>
      <c r="L7" s="26">
        <v>0.79</v>
      </c>
      <c r="M7" s="27">
        <v>2.73</v>
      </c>
      <c r="N7" s="26">
        <v>0</v>
      </c>
      <c r="O7" s="27">
        <v>0</v>
      </c>
      <c r="P7" s="26">
        <v>2.4700000000000002</v>
      </c>
      <c r="Q7" s="27">
        <v>5.66</v>
      </c>
      <c r="R7" s="26">
        <v>0.79</v>
      </c>
      <c r="S7" s="27">
        <v>2.73</v>
      </c>
      <c r="T7" s="26">
        <v>0</v>
      </c>
      <c r="U7" s="27">
        <v>0</v>
      </c>
      <c r="V7" s="1">
        <v>32.28</v>
      </c>
    </row>
    <row r="8" spans="1:22" s="24" customFormat="1" x14ac:dyDescent="0.3">
      <c r="A8" s="22" t="s">
        <v>13</v>
      </c>
      <c r="B8" s="28">
        <v>0.4</v>
      </c>
      <c r="C8" s="29">
        <v>0.62</v>
      </c>
      <c r="D8" s="28">
        <v>0.06</v>
      </c>
      <c r="E8" s="29">
        <v>2.95</v>
      </c>
      <c r="F8" s="28">
        <v>0</v>
      </c>
      <c r="G8" s="29">
        <v>0</v>
      </c>
      <c r="H8" s="28">
        <v>5</v>
      </c>
      <c r="I8" s="29">
        <v>31.88</v>
      </c>
      <c r="J8" s="28">
        <v>0</v>
      </c>
      <c r="K8" s="29">
        <v>0</v>
      </c>
      <c r="L8" s="28">
        <v>0.79</v>
      </c>
      <c r="M8" s="29">
        <v>2.73</v>
      </c>
      <c r="N8" s="28">
        <v>0</v>
      </c>
      <c r="O8" s="29">
        <v>0</v>
      </c>
      <c r="P8" s="28">
        <v>2.4700000000000002</v>
      </c>
      <c r="Q8" s="29">
        <v>5.66</v>
      </c>
      <c r="R8" s="28">
        <v>0.79</v>
      </c>
      <c r="S8" s="29">
        <v>2.73</v>
      </c>
      <c r="T8" s="28">
        <v>0</v>
      </c>
      <c r="U8" s="29">
        <v>0</v>
      </c>
      <c r="V8" s="23">
        <v>0</v>
      </c>
    </row>
    <row r="9" spans="1:22" s="24" customFormat="1" x14ac:dyDescent="0.3">
      <c r="A9" s="22" t="s">
        <v>14</v>
      </c>
      <c r="B9" s="28">
        <v>6.06</v>
      </c>
      <c r="C9" s="29">
        <v>177.76</v>
      </c>
      <c r="D9" s="28">
        <v>0.56000000000000005</v>
      </c>
      <c r="E9" s="29">
        <v>20.51</v>
      </c>
      <c r="F9" s="28">
        <v>0</v>
      </c>
      <c r="G9" s="29">
        <v>0</v>
      </c>
      <c r="H9" s="28">
        <v>0</v>
      </c>
      <c r="I9" s="29">
        <v>0</v>
      </c>
      <c r="J9" s="28">
        <v>0</v>
      </c>
      <c r="K9" s="29">
        <v>0</v>
      </c>
      <c r="L9" s="28">
        <v>0</v>
      </c>
      <c r="M9" s="29">
        <v>0</v>
      </c>
      <c r="N9" s="28">
        <v>0</v>
      </c>
      <c r="O9" s="29">
        <v>0</v>
      </c>
      <c r="P9" s="28">
        <v>0</v>
      </c>
      <c r="Q9" s="29">
        <v>0</v>
      </c>
      <c r="R9" s="28">
        <v>0</v>
      </c>
      <c r="S9" s="29">
        <v>0</v>
      </c>
      <c r="T9" s="28">
        <v>0</v>
      </c>
      <c r="U9" s="29">
        <v>0</v>
      </c>
      <c r="V9" s="23">
        <v>0</v>
      </c>
    </row>
    <row r="10" spans="1:22" x14ac:dyDescent="0.3">
      <c r="A10" s="25" t="s">
        <v>16</v>
      </c>
      <c r="B10" s="26">
        <v>2.2599999999999998</v>
      </c>
      <c r="C10" s="27">
        <v>68.47</v>
      </c>
      <c r="D10" s="26">
        <v>8.4</v>
      </c>
      <c r="E10" s="27">
        <v>139.13999999999999</v>
      </c>
      <c r="F10" s="26">
        <v>4.6500000000000004</v>
      </c>
      <c r="G10" s="27">
        <v>69.040000000000006</v>
      </c>
      <c r="H10" s="26">
        <v>12.92</v>
      </c>
      <c r="I10" s="27">
        <v>171.24</v>
      </c>
      <c r="J10" s="26">
        <v>8.67</v>
      </c>
      <c r="K10" s="27">
        <v>120.42</v>
      </c>
      <c r="L10" s="26">
        <v>8.67</v>
      </c>
      <c r="M10" s="27">
        <v>120.42</v>
      </c>
      <c r="N10" s="26">
        <v>11.52</v>
      </c>
      <c r="O10" s="27">
        <v>179.58</v>
      </c>
      <c r="P10" s="26">
        <v>2.74</v>
      </c>
      <c r="Q10" s="27">
        <v>30.83</v>
      </c>
      <c r="R10" s="26">
        <v>1.1000000000000001</v>
      </c>
      <c r="S10" s="27">
        <v>23.86</v>
      </c>
      <c r="T10" s="26">
        <v>2.42</v>
      </c>
      <c r="U10" s="27">
        <v>30.27</v>
      </c>
      <c r="V10" s="1">
        <v>0</v>
      </c>
    </row>
    <row r="11" spans="1:22" s="24" customFormat="1" x14ac:dyDescent="0.3">
      <c r="A11" s="22" t="s">
        <v>13</v>
      </c>
      <c r="B11" s="28">
        <v>1.22</v>
      </c>
      <c r="C11" s="29">
        <v>30.29</v>
      </c>
      <c r="D11" s="28">
        <v>8.39</v>
      </c>
      <c r="E11" s="29">
        <v>138.57</v>
      </c>
      <c r="F11" s="28">
        <v>4.6399999999999997</v>
      </c>
      <c r="G11" s="29">
        <v>68.459999999999994</v>
      </c>
      <c r="H11" s="28">
        <v>12.91</v>
      </c>
      <c r="I11" s="29">
        <v>170.78</v>
      </c>
      <c r="J11" s="28">
        <v>8.67</v>
      </c>
      <c r="K11" s="29">
        <v>120.42</v>
      </c>
      <c r="L11" s="28">
        <v>8.67</v>
      </c>
      <c r="M11" s="29">
        <v>120.42</v>
      </c>
      <c r="N11" s="28">
        <v>11.52</v>
      </c>
      <c r="O11" s="29">
        <v>179.58</v>
      </c>
      <c r="P11" s="28">
        <v>2.74</v>
      </c>
      <c r="Q11" s="29">
        <v>30.83</v>
      </c>
      <c r="R11" s="28">
        <v>1.1000000000000001</v>
      </c>
      <c r="S11" s="29">
        <v>23.86</v>
      </c>
      <c r="T11" s="28">
        <v>2.42</v>
      </c>
      <c r="U11" s="29">
        <v>30.27</v>
      </c>
      <c r="V11" s="23">
        <v>30.27</v>
      </c>
    </row>
    <row r="12" spans="1:22" s="24" customFormat="1" x14ac:dyDescent="0.3">
      <c r="A12" s="22" t="s">
        <v>14</v>
      </c>
      <c r="B12" s="28">
        <v>1.04</v>
      </c>
      <c r="C12" s="29">
        <v>38.17</v>
      </c>
      <c r="D12" s="28">
        <v>0.01</v>
      </c>
      <c r="E12" s="29">
        <v>0.57999999999999996</v>
      </c>
      <c r="F12" s="28">
        <v>0.01</v>
      </c>
      <c r="G12" s="29">
        <v>0.57999999999999996</v>
      </c>
      <c r="H12" s="28">
        <v>0.01</v>
      </c>
      <c r="I12" s="29">
        <v>0.46</v>
      </c>
      <c r="J12" s="28">
        <v>0</v>
      </c>
      <c r="K12" s="29">
        <v>0</v>
      </c>
      <c r="L12" s="28">
        <v>0</v>
      </c>
      <c r="M12" s="29">
        <v>0</v>
      </c>
      <c r="N12" s="28">
        <v>0</v>
      </c>
      <c r="O12" s="29">
        <v>0</v>
      </c>
      <c r="P12" s="28">
        <v>0</v>
      </c>
      <c r="Q12" s="29">
        <v>0</v>
      </c>
      <c r="R12" s="28">
        <v>0</v>
      </c>
      <c r="S12" s="29">
        <v>0</v>
      </c>
      <c r="T12" s="28">
        <v>0</v>
      </c>
      <c r="U12" s="29">
        <v>0</v>
      </c>
      <c r="V12" s="23">
        <v>0</v>
      </c>
    </row>
    <row r="13" spans="1:22" x14ac:dyDescent="0.3">
      <c r="A13" s="25" t="s">
        <v>17</v>
      </c>
      <c r="B13" s="26">
        <v>14.82</v>
      </c>
      <c r="C13" s="27">
        <v>1286.29</v>
      </c>
      <c r="D13" s="26">
        <v>2.19</v>
      </c>
      <c r="E13" s="27">
        <v>326.64</v>
      </c>
      <c r="F13" s="26">
        <v>2.5299999999999998</v>
      </c>
      <c r="G13" s="27">
        <v>401.69</v>
      </c>
      <c r="H13" s="26">
        <v>7.13</v>
      </c>
      <c r="I13" s="27">
        <v>936.37</v>
      </c>
      <c r="J13" s="26">
        <v>2.7</v>
      </c>
      <c r="K13" s="27">
        <v>409.51</v>
      </c>
      <c r="L13" s="26">
        <v>4.79</v>
      </c>
      <c r="M13" s="27">
        <v>586.44000000000005</v>
      </c>
      <c r="N13" s="26">
        <v>2.36</v>
      </c>
      <c r="O13" s="27">
        <v>324.42</v>
      </c>
      <c r="P13" s="26">
        <v>5.8</v>
      </c>
      <c r="Q13" s="27">
        <v>892.04</v>
      </c>
      <c r="R13" s="26">
        <v>2.66</v>
      </c>
      <c r="S13" s="27">
        <v>399.03</v>
      </c>
      <c r="T13" s="26">
        <v>2.76</v>
      </c>
      <c r="U13" s="27">
        <v>410.28</v>
      </c>
      <c r="V13" s="1">
        <v>0</v>
      </c>
    </row>
    <row r="14" spans="1:22" s="24" customFormat="1" x14ac:dyDescent="0.3">
      <c r="A14" s="22" t="s">
        <v>13</v>
      </c>
      <c r="B14" s="28">
        <v>7.64</v>
      </c>
      <c r="C14" s="29">
        <v>1024.21</v>
      </c>
      <c r="D14" s="28">
        <v>2.0699999999999998</v>
      </c>
      <c r="E14" s="29">
        <v>322.14</v>
      </c>
      <c r="F14" s="28">
        <v>2.25</v>
      </c>
      <c r="G14" s="29">
        <v>391.69</v>
      </c>
      <c r="H14" s="28">
        <v>6.28</v>
      </c>
      <c r="I14" s="29">
        <v>905.37</v>
      </c>
      <c r="J14" s="28">
        <v>2.54</v>
      </c>
      <c r="K14" s="29">
        <v>403.51</v>
      </c>
      <c r="L14" s="28">
        <v>3.17</v>
      </c>
      <c r="M14" s="29">
        <v>527.44000000000005</v>
      </c>
      <c r="N14" s="28">
        <v>2.06</v>
      </c>
      <c r="O14" s="29">
        <v>318.02</v>
      </c>
      <c r="P14" s="28">
        <v>5.8</v>
      </c>
      <c r="Q14" s="29">
        <v>892.04</v>
      </c>
      <c r="R14" s="28">
        <v>2.66</v>
      </c>
      <c r="S14" s="29">
        <v>399.03</v>
      </c>
      <c r="T14" s="28">
        <v>2.4900000000000002</v>
      </c>
      <c r="U14" s="29">
        <v>400.28</v>
      </c>
      <c r="V14" s="23">
        <v>400.28</v>
      </c>
    </row>
    <row r="15" spans="1:22" s="24" customFormat="1" x14ac:dyDescent="0.3">
      <c r="A15" s="22" t="s">
        <v>14</v>
      </c>
      <c r="B15" s="28">
        <v>7.18</v>
      </c>
      <c r="C15" s="29">
        <v>262.08</v>
      </c>
      <c r="D15" s="28">
        <v>0.12</v>
      </c>
      <c r="E15" s="29">
        <v>4.5</v>
      </c>
      <c r="F15" s="28">
        <v>0.28000000000000003</v>
      </c>
      <c r="G15" s="29">
        <v>10</v>
      </c>
      <c r="H15" s="28">
        <v>0.85</v>
      </c>
      <c r="I15" s="29">
        <v>31</v>
      </c>
      <c r="J15" s="28">
        <v>0.16</v>
      </c>
      <c r="K15" s="29">
        <v>6</v>
      </c>
      <c r="L15" s="28">
        <v>1.62</v>
      </c>
      <c r="M15" s="29">
        <v>59</v>
      </c>
      <c r="N15" s="28">
        <v>0.3</v>
      </c>
      <c r="O15" s="29">
        <v>6.4</v>
      </c>
      <c r="P15" s="28">
        <v>0</v>
      </c>
      <c r="Q15" s="29">
        <v>0</v>
      </c>
      <c r="R15" s="28">
        <v>0</v>
      </c>
      <c r="S15" s="29">
        <v>0</v>
      </c>
      <c r="T15" s="28">
        <v>0.27</v>
      </c>
      <c r="U15" s="29">
        <v>10</v>
      </c>
      <c r="V15" s="23">
        <v>10</v>
      </c>
    </row>
    <row r="16" spans="1:22" x14ac:dyDescent="0.3">
      <c r="A16" s="25" t="s">
        <v>18</v>
      </c>
      <c r="B16" s="26">
        <v>33.43</v>
      </c>
      <c r="C16" s="27">
        <v>8774.7000000000007</v>
      </c>
      <c r="D16" s="26">
        <v>2.58</v>
      </c>
      <c r="E16" s="27">
        <v>523.03</v>
      </c>
      <c r="F16" s="26">
        <v>2.88</v>
      </c>
      <c r="G16" s="27">
        <v>417.94</v>
      </c>
      <c r="H16" s="26">
        <v>2.5299999999999998</v>
      </c>
      <c r="I16" s="27">
        <v>486.75</v>
      </c>
      <c r="J16" s="26">
        <v>3.56</v>
      </c>
      <c r="K16" s="27">
        <v>608.54999999999995</v>
      </c>
      <c r="L16" s="26">
        <v>1.33</v>
      </c>
      <c r="M16" s="27">
        <v>307.7</v>
      </c>
      <c r="N16" s="26">
        <v>2.4500000000000002</v>
      </c>
      <c r="O16" s="27">
        <v>513.63</v>
      </c>
      <c r="P16" s="26">
        <v>2.0299999999999998</v>
      </c>
      <c r="Q16" s="27">
        <v>383.92</v>
      </c>
      <c r="R16" s="26">
        <v>1.7</v>
      </c>
      <c r="S16" s="27">
        <v>322.07</v>
      </c>
      <c r="T16" s="26">
        <v>2.34</v>
      </c>
      <c r="U16" s="27">
        <v>335.57</v>
      </c>
      <c r="V16" s="1">
        <v>10</v>
      </c>
    </row>
    <row r="17" spans="1:98" s="24" customFormat="1" x14ac:dyDescent="0.3">
      <c r="A17" s="22" t="s">
        <v>13</v>
      </c>
      <c r="B17" s="28">
        <v>33.409999999999997</v>
      </c>
      <c r="C17" s="29">
        <v>8774.01</v>
      </c>
      <c r="D17" s="28">
        <v>2.39</v>
      </c>
      <c r="E17" s="29">
        <v>516.03</v>
      </c>
      <c r="F17" s="28">
        <v>2.88</v>
      </c>
      <c r="G17" s="29">
        <v>417.94</v>
      </c>
      <c r="H17" s="28">
        <v>2.5299999999999998</v>
      </c>
      <c r="I17" s="29">
        <v>486.75</v>
      </c>
      <c r="J17" s="28">
        <v>3.56</v>
      </c>
      <c r="K17" s="29">
        <v>608.54999999999995</v>
      </c>
      <c r="L17" s="28">
        <v>1.33</v>
      </c>
      <c r="M17" s="29">
        <v>307.7</v>
      </c>
      <c r="N17" s="28">
        <v>2.4500000000000002</v>
      </c>
      <c r="O17" s="29">
        <v>513.63</v>
      </c>
      <c r="P17" s="28">
        <v>2.0299999999999998</v>
      </c>
      <c r="Q17" s="29">
        <v>383.92</v>
      </c>
      <c r="R17" s="28">
        <v>1.7</v>
      </c>
      <c r="S17" s="29">
        <v>322.07</v>
      </c>
      <c r="T17" s="28">
        <v>2.34</v>
      </c>
      <c r="U17" s="29">
        <v>335.57</v>
      </c>
      <c r="V17" s="23">
        <v>335.57</v>
      </c>
    </row>
    <row r="18" spans="1:98" s="24" customFormat="1" ht="15" customHeight="1" thickBot="1" x14ac:dyDescent="0.35">
      <c r="A18" s="22" t="s">
        <v>14</v>
      </c>
      <c r="B18" s="28">
        <v>0.02</v>
      </c>
      <c r="C18" s="29">
        <v>0.69</v>
      </c>
      <c r="D18" s="28">
        <v>0.19</v>
      </c>
      <c r="E18" s="29">
        <v>7</v>
      </c>
      <c r="F18" s="28">
        <v>0</v>
      </c>
      <c r="G18" s="29">
        <v>0</v>
      </c>
      <c r="H18" s="28">
        <v>0</v>
      </c>
      <c r="I18" s="29">
        <v>0</v>
      </c>
      <c r="J18" s="28">
        <v>0</v>
      </c>
      <c r="K18" s="29">
        <v>0</v>
      </c>
      <c r="L18" s="28">
        <v>0</v>
      </c>
      <c r="M18" s="29">
        <v>0</v>
      </c>
      <c r="N18" s="28">
        <v>0</v>
      </c>
      <c r="O18" s="29">
        <v>0</v>
      </c>
      <c r="P18" s="28">
        <v>0</v>
      </c>
      <c r="Q18" s="29">
        <v>0</v>
      </c>
      <c r="R18" s="28">
        <v>0</v>
      </c>
      <c r="S18" s="29">
        <v>0</v>
      </c>
      <c r="T18" s="28">
        <v>0</v>
      </c>
      <c r="U18" s="29">
        <v>0</v>
      </c>
      <c r="V18" s="23">
        <v>0</v>
      </c>
    </row>
    <row r="19" spans="1:98" s="15" customFormat="1" ht="15" customHeight="1" thickBot="1" x14ac:dyDescent="0.35">
      <c r="A19" s="19" t="s">
        <v>19</v>
      </c>
      <c r="B19" s="20">
        <v>97.44</v>
      </c>
      <c r="C19" s="21">
        <v>17902.97</v>
      </c>
      <c r="D19" s="20">
        <v>16.48</v>
      </c>
      <c r="E19" s="21">
        <v>1122.05</v>
      </c>
      <c r="F19" s="20">
        <v>16.32</v>
      </c>
      <c r="G19" s="21">
        <v>1221.69</v>
      </c>
      <c r="H19" s="20">
        <v>35.76</v>
      </c>
      <c r="I19" s="21">
        <v>2021.03</v>
      </c>
      <c r="J19" s="20">
        <v>17.79</v>
      </c>
      <c r="K19" s="21">
        <v>1330.83</v>
      </c>
      <c r="L19" s="20">
        <v>19.350000000000001</v>
      </c>
      <c r="M19" s="21">
        <v>1233.3699999999999</v>
      </c>
      <c r="N19" s="20">
        <v>20.54</v>
      </c>
      <c r="O19" s="21">
        <v>1298.24</v>
      </c>
      <c r="P19" s="20">
        <v>19.62</v>
      </c>
      <c r="Q19" s="21">
        <v>1640.13</v>
      </c>
      <c r="R19" s="20">
        <v>9.61</v>
      </c>
      <c r="S19" s="21">
        <v>919.77</v>
      </c>
      <c r="T19" s="20">
        <v>11.99</v>
      </c>
      <c r="U19" s="21">
        <v>1062.72</v>
      </c>
      <c r="V19">
        <v>0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</row>
    <row r="20" spans="1:98" ht="15" customHeight="1" thickBot="1" x14ac:dyDescent="0.35"/>
    <row r="21" spans="1:98" ht="15" customHeight="1" thickBot="1" x14ac:dyDescent="0.35">
      <c r="F21" s="52" t="s">
        <v>20</v>
      </c>
      <c r="G21" s="51"/>
    </row>
    <row r="22" spans="1:98" ht="15" customHeight="1" thickBot="1" x14ac:dyDescent="0.35">
      <c r="D22" s="55" t="s">
        <v>21</v>
      </c>
      <c r="E22" s="51"/>
      <c r="F22" s="2" t="s">
        <v>10</v>
      </c>
      <c r="G22" s="2" t="s">
        <v>11</v>
      </c>
    </row>
    <row r="23" spans="1:98" x14ac:dyDescent="0.3">
      <c r="D23" s="3" t="s">
        <v>12</v>
      </c>
      <c r="E23" s="4">
        <v>3</v>
      </c>
      <c r="F23" s="5">
        <f>E23-D4</f>
        <v>0.31000000000000005</v>
      </c>
      <c r="G23" s="5">
        <f>F23/D4*E4</f>
        <v>12.65122676579926</v>
      </c>
    </row>
    <row r="24" spans="1:98" x14ac:dyDescent="0.3">
      <c r="D24" s="3" t="s">
        <v>22</v>
      </c>
      <c r="E24" s="4">
        <v>0.62</v>
      </c>
      <c r="F24" s="5">
        <f>E24-D7</f>
        <v>0</v>
      </c>
      <c r="G24" s="5">
        <f>IFERROR(F24/D7*E7,0)</f>
        <v>0</v>
      </c>
    </row>
    <row r="25" spans="1:98" x14ac:dyDescent="0.3">
      <c r="D25" s="3" t="s">
        <v>16</v>
      </c>
      <c r="E25" s="4">
        <v>9</v>
      </c>
      <c r="F25" s="5">
        <f>E25-D10</f>
        <v>0.59999999999999964</v>
      </c>
      <c r="G25" s="5">
        <f>F25/D10*E10</f>
        <v>9.9385714285714215</v>
      </c>
    </row>
    <row r="26" spans="1:98" x14ac:dyDescent="0.3">
      <c r="D26" s="3" t="s">
        <v>17</v>
      </c>
      <c r="E26" s="4">
        <v>3</v>
      </c>
      <c r="F26" s="5">
        <f>E26-D13</f>
        <v>0.81</v>
      </c>
      <c r="G26" s="5">
        <f>F26/D13*E13</f>
        <v>120.81205479452055</v>
      </c>
    </row>
    <row r="27" spans="1:98" ht="15" customHeight="1" thickBot="1" x14ac:dyDescent="0.35">
      <c r="D27" s="6" t="s">
        <v>18</v>
      </c>
      <c r="E27" s="7">
        <v>3</v>
      </c>
      <c r="F27" s="8">
        <f>E27-D16</f>
        <v>0.41999999999999993</v>
      </c>
      <c r="G27" s="8">
        <f>F27/D16*E16</f>
        <v>85.144418604651136</v>
      </c>
    </row>
  </sheetData>
  <mergeCells count="12">
    <mergeCell ref="D22:E22"/>
    <mergeCell ref="T2:U2"/>
    <mergeCell ref="D2:E2"/>
    <mergeCell ref="J2:K2"/>
    <mergeCell ref="N2:O2"/>
    <mergeCell ref="R2:S2"/>
    <mergeCell ref="P2:Q2"/>
    <mergeCell ref="L2:M2"/>
    <mergeCell ref="F21:G21"/>
    <mergeCell ref="F2:G2"/>
    <mergeCell ref="B2:C2"/>
    <mergeCell ref="H2:I2"/>
  </mergeCells>
  <conditionalFormatting sqref="F23:G27">
    <cfRule type="cellIs" dxfId="1" priority="1" operator="greaterThan">
      <formula>0</formula>
    </cfRule>
    <cfRule type="cellIs" dxfId="0" priority="2" operator="lessThan">
      <formula>0</formula>
    </cfRule>
  </conditionalFormatting>
  <hyperlinks>
    <hyperlink ref="B5" location="Details!C2" display="Details!C2" xr:uid="{00000000-0004-0000-0000-000000000000}"/>
    <hyperlink ref="C5" location="Details!C2" display="Details!C2" xr:uid="{00000000-0004-0000-0000-000001000000}"/>
    <hyperlink ref="D5" location="Details!C18" display="Details!C18" xr:uid="{00000000-0004-0000-0000-000002000000}"/>
    <hyperlink ref="E5" location="Details!C18" display="Details!C18" xr:uid="{00000000-0004-0000-0000-000003000000}"/>
    <hyperlink ref="F5" location="Details!C39" display="Details!C39" xr:uid="{00000000-0004-0000-0000-000004000000}"/>
    <hyperlink ref="G5" location="Details!C39" display="Details!C39" xr:uid="{00000000-0004-0000-0000-000005000000}"/>
    <hyperlink ref="H5" location="Details!C56" display="Details!C56" xr:uid="{00000000-0004-0000-0000-000006000000}"/>
    <hyperlink ref="I5" location="Details!C56" display="Details!C56" xr:uid="{00000000-0004-0000-0000-000007000000}"/>
    <hyperlink ref="J5" location="Details!C100" display="Details!C100" xr:uid="{00000000-0004-0000-0000-000008000000}"/>
    <hyperlink ref="K5" location="Details!C100" display="Details!C100" xr:uid="{00000000-0004-0000-0000-000009000000}"/>
    <hyperlink ref="L5" location="Details!C140" display="Details!C140" xr:uid="{00000000-0004-0000-0000-00000A000000}"/>
    <hyperlink ref="M5" location="Details!C140" display="Details!C140" xr:uid="{00000000-0004-0000-0000-00000B000000}"/>
    <hyperlink ref="N5" location="Details!C168" display="Details!C168" xr:uid="{00000000-0004-0000-0000-00000C000000}"/>
    <hyperlink ref="O5" location="Details!C168" display="Details!C168" xr:uid="{00000000-0004-0000-0000-00000D000000}"/>
    <hyperlink ref="P5" location="Details!C198" display="Details!C198" xr:uid="{00000000-0004-0000-0000-00000E000000}"/>
    <hyperlink ref="Q5" location="Details!C198" display="Details!C198" xr:uid="{00000000-0004-0000-0000-00000F000000}"/>
    <hyperlink ref="R5" location="Details!C255" display="Details!C255" xr:uid="{00000000-0004-0000-0000-000010000000}"/>
    <hyperlink ref="S5" location="Details!C255" display="Details!C255" xr:uid="{00000000-0004-0000-0000-000011000000}"/>
    <hyperlink ref="T5" location="Details!C291" display="Details!C291" xr:uid="{00000000-0004-0000-0000-000012000000}"/>
    <hyperlink ref="U5" location="Details!C291" display="Details!C291" xr:uid="{00000000-0004-0000-0000-000013000000}"/>
    <hyperlink ref="B6" location="Details!C323" display="Details!C323" xr:uid="{00000000-0004-0000-0000-000014000000}"/>
    <hyperlink ref="C6" location="Details!C323" display="Details!C323" xr:uid="{00000000-0004-0000-0000-000015000000}"/>
    <hyperlink ref="D6" location="Details!C346" display="Details!C346" xr:uid="{00000000-0004-0000-0000-000016000000}"/>
    <hyperlink ref="E6" location="Details!C346" display="Details!C346" xr:uid="{00000000-0004-0000-0000-000017000000}"/>
    <hyperlink ref="F6" location="Details!C365" display="Details!C365" xr:uid="{00000000-0004-0000-0000-000018000000}"/>
    <hyperlink ref="G6" location="Details!C365" display="Details!C365" xr:uid="{00000000-0004-0000-0000-000019000000}"/>
    <hyperlink ref="H6" location="Details!C379" display="Details!C379" xr:uid="{00000000-0004-0000-0000-00001A000000}"/>
    <hyperlink ref="I6" location="Details!C379" display="Details!C379" xr:uid="{00000000-0004-0000-0000-00001B000000}"/>
    <hyperlink ref="J6" location="Details!C386" display="Details!C386" xr:uid="{00000000-0004-0000-0000-00001C000000}"/>
    <hyperlink ref="K6" location="Details!C386" display="Details!C386" xr:uid="{00000000-0004-0000-0000-00001D000000}"/>
    <hyperlink ref="P6" location="Details!C393" display="Details!C393" xr:uid="{00000000-0004-0000-0000-00001E000000}"/>
    <hyperlink ref="Q6" location="Details!C393" display="Details!C393" xr:uid="{00000000-0004-0000-0000-00001F000000}"/>
    <hyperlink ref="T6" location="Details!C400" display="Details!C400" xr:uid="{00000000-0004-0000-0000-000020000000}"/>
    <hyperlink ref="U6" location="Details!C400" display="Details!C400" xr:uid="{00000000-0004-0000-0000-000021000000}"/>
    <hyperlink ref="B8" location="Details!C407" display="Details!C407" xr:uid="{00000000-0004-0000-0000-000022000000}"/>
    <hyperlink ref="C8" location="Details!C407" display="Details!C407" xr:uid="{00000000-0004-0000-0000-000023000000}"/>
    <hyperlink ref="D8" location="Details!C414" display="Details!C414" xr:uid="{00000000-0004-0000-0000-000024000000}"/>
    <hyperlink ref="E8" location="Details!C414" display="Details!C414" xr:uid="{00000000-0004-0000-0000-000025000000}"/>
    <hyperlink ref="H8" location="Details!C421" display="Details!C421" xr:uid="{00000000-0004-0000-0000-000026000000}"/>
    <hyperlink ref="I8" location="Details!C421" display="Details!C421" xr:uid="{00000000-0004-0000-0000-000027000000}"/>
    <hyperlink ref="L8" location="Details!C428" display="Details!C428" xr:uid="{00000000-0004-0000-0000-000028000000}"/>
    <hyperlink ref="M8" location="Details!C428" display="Details!C428" xr:uid="{00000000-0004-0000-0000-000029000000}"/>
    <hyperlink ref="P8" location="Details!C435" display="Details!C435" xr:uid="{00000000-0004-0000-0000-00002A000000}"/>
    <hyperlink ref="Q8" location="Details!C435" display="Details!C435" xr:uid="{00000000-0004-0000-0000-00002B000000}"/>
    <hyperlink ref="R8" location="Details!C442" display="Details!C442" xr:uid="{00000000-0004-0000-0000-00002C000000}"/>
    <hyperlink ref="S8" location="Details!C442" display="Details!C442" xr:uid="{00000000-0004-0000-0000-00002D000000}"/>
    <hyperlink ref="B9" location="Details!C449" display="Details!C449" xr:uid="{00000000-0004-0000-0000-00002E000000}"/>
    <hyperlink ref="C9" location="Details!C449" display="Details!C449" xr:uid="{00000000-0004-0000-0000-00002F000000}"/>
    <hyperlink ref="D9" location="Details!C468" display="Details!C468" xr:uid="{00000000-0004-0000-0000-000030000000}"/>
    <hyperlink ref="E9" location="Details!C468" display="Details!C468" xr:uid="{00000000-0004-0000-0000-000031000000}"/>
    <hyperlink ref="B11" location="Details!C475" display="Details!C475" xr:uid="{00000000-0004-0000-0000-000032000000}"/>
    <hyperlink ref="C11" location="Details!C475" display="Details!C475" xr:uid="{00000000-0004-0000-0000-000033000000}"/>
    <hyperlink ref="D11" location="Details!C482" display="Details!C482" xr:uid="{00000000-0004-0000-0000-000034000000}"/>
    <hyperlink ref="E11" location="Details!C482" display="Details!C482" xr:uid="{00000000-0004-0000-0000-000035000000}"/>
    <hyperlink ref="F11" location="Details!C492" display="Details!C492" xr:uid="{00000000-0004-0000-0000-000036000000}"/>
    <hyperlink ref="G11" location="Details!C492" display="Details!C492" xr:uid="{00000000-0004-0000-0000-000037000000}"/>
    <hyperlink ref="H11" location="Details!C502" display="Details!C502" xr:uid="{00000000-0004-0000-0000-000038000000}"/>
    <hyperlink ref="I11" location="Details!C502" display="Details!C502" xr:uid="{00000000-0004-0000-0000-000039000000}"/>
    <hyperlink ref="J11" location="Details!C515" display="Details!C515" xr:uid="{00000000-0004-0000-0000-00003A000000}"/>
    <hyperlink ref="K11" location="Details!C515" display="Details!C515" xr:uid="{00000000-0004-0000-0000-00003B000000}"/>
    <hyperlink ref="L11" location="Details!C523" display="Details!C523" xr:uid="{00000000-0004-0000-0000-00003C000000}"/>
    <hyperlink ref="M11" location="Details!C523" display="Details!C523" xr:uid="{00000000-0004-0000-0000-00003D000000}"/>
    <hyperlink ref="N11" location="Details!C531" display="Details!C531" xr:uid="{00000000-0004-0000-0000-00003E000000}"/>
    <hyperlink ref="O11" location="Details!C531" display="Details!C531" xr:uid="{00000000-0004-0000-0000-00003F000000}"/>
    <hyperlink ref="P11" location="Details!C542" display="Details!C542" xr:uid="{00000000-0004-0000-0000-000040000000}"/>
    <hyperlink ref="Q11" location="Details!C542" display="Details!C542" xr:uid="{00000000-0004-0000-0000-000041000000}"/>
    <hyperlink ref="R11" location="Details!C549" display="Details!C549" xr:uid="{00000000-0004-0000-0000-000042000000}"/>
    <hyperlink ref="S11" location="Details!C549" display="Details!C549" xr:uid="{00000000-0004-0000-0000-000043000000}"/>
    <hyperlink ref="T11" location="Details!C556" display="Details!C556" xr:uid="{00000000-0004-0000-0000-000044000000}"/>
    <hyperlink ref="U11" location="Details!C556" display="Details!C556" xr:uid="{00000000-0004-0000-0000-000045000000}"/>
    <hyperlink ref="B12" location="Details!C563" display="Details!C563" xr:uid="{00000000-0004-0000-0000-000046000000}"/>
    <hyperlink ref="C12" location="Details!C563" display="Details!C563" xr:uid="{00000000-0004-0000-0000-000047000000}"/>
    <hyperlink ref="D12" location="Details!C579" display="Details!C579" xr:uid="{00000000-0004-0000-0000-000048000000}"/>
    <hyperlink ref="E12" location="Details!C579" display="Details!C579" xr:uid="{00000000-0004-0000-0000-000049000000}"/>
    <hyperlink ref="F12" location="Details!C586" display="Details!C586" xr:uid="{00000000-0004-0000-0000-00004A000000}"/>
    <hyperlink ref="G12" location="Details!C586" display="Details!C586" xr:uid="{00000000-0004-0000-0000-00004B000000}"/>
    <hyperlink ref="H12" location="Details!C593" display="Details!C593" xr:uid="{00000000-0004-0000-0000-00004C000000}"/>
    <hyperlink ref="I12" location="Details!C593" display="Details!C593" xr:uid="{00000000-0004-0000-0000-00004D000000}"/>
    <hyperlink ref="B14" location="Details!C600" display="Details!C600" xr:uid="{00000000-0004-0000-0000-00004E000000}"/>
    <hyperlink ref="C14" location="Details!C600" display="Details!C600" xr:uid="{00000000-0004-0000-0000-00004F000000}"/>
    <hyperlink ref="D14" location="Details!C650" display="Details!C650" xr:uid="{00000000-0004-0000-0000-000050000000}"/>
    <hyperlink ref="E14" location="Details!C650" display="Details!C650" xr:uid="{00000000-0004-0000-0000-000051000000}"/>
    <hyperlink ref="F14" location="Details!C676" display="Details!C676" xr:uid="{00000000-0004-0000-0000-000052000000}"/>
    <hyperlink ref="G14" location="Details!C676" display="Details!C676" xr:uid="{00000000-0004-0000-0000-000053000000}"/>
    <hyperlink ref="H14" location="Details!C708" display="Details!C708" xr:uid="{00000000-0004-0000-0000-000054000000}"/>
    <hyperlink ref="I14" location="Details!C708" display="Details!C708" xr:uid="{00000000-0004-0000-0000-000055000000}"/>
    <hyperlink ref="J14" location="Details!C764" display="Details!C764" xr:uid="{00000000-0004-0000-0000-000056000000}"/>
    <hyperlink ref="K14" location="Details!C764" display="Details!C764" xr:uid="{00000000-0004-0000-0000-000057000000}"/>
    <hyperlink ref="L14" location="Details!C802" display="Details!C802" xr:uid="{00000000-0004-0000-0000-000058000000}"/>
    <hyperlink ref="M14" location="Details!C802" display="Details!C802" xr:uid="{00000000-0004-0000-0000-000059000000}"/>
    <hyperlink ref="N14" location="Details!C845" display="Details!C845" xr:uid="{00000000-0004-0000-0000-00005A000000}"/>
    <hyperlink ref="O14" location="Details!C845" display="Details!C845" xr:uid="{00000000-0004-0000-0000-00005B000000}"/>
    <hyperlink ref="P14" location="Details!C884" display="Details!C884" xr:uid="{00000000-0004-0000-0000-00005C000000}"/>
    <hyperlink ref="Q14" location="Details!C884" display="Details!C884" xr:uid="{00000000-0004-0000-0000-00005D000000}"/>
    <hyperlink ref="R14" location="Details!C929" display="Details!C929" xr:uid="{00000000-0004-0000-0000-00005E000000}"/>
    <hyperlink ref="S14" location="Details!C929" display="Details!C929" xr:uid="{00000000-0004-0000-0000-00005F000000}"/>
    <hyperlink ref="T14" location="Details!C970" display="Details!C970" xr:uid="{00000000-0004-0000-0000-000060000000}"/>
    <hyperlink ref="U14" location="Details!C970" display="Details!C970" xr:uid="{00000000-0004-0000-0000-000061000000}"/>
    <hyperlink ref="B15" location="Details!C1009" display="Details!C1009" xr:uid="{00000000-0004-0000-0000-000062000000}"/>
    <hyperlink ref="C15" location="Details!C1009" display="Details!C1009" xr:uid="{00000000-0004-0000-0000-000063000000}"/>
    <hyperlink ref="D15" location="Details!C1027" display="Details!C1027" xr:uid="{00000000-0004-0000-0000-000064000000}"/>
    <hyperlink ref="E15" location="Details!C1027" display="Details!C1027" xr:uid="{00000000-0004-0000-0000-000065000000}"/>
    <hyperlink ref="F15" location="Details!C1034" display="Details!C1034" xr:uid="{00000000-0004-0000-0000-000066000000}"/>
    <hyperlink ref="G15" location="Details!C1034" display="Details!C1034" xr:uid="{00000000-0004-0000-0000-000067000000}"/>
    <hyperlink ref="H15" location="Details!C1041" display="Details!C1041" xr:uid="{00000000-0004-0000-0000-000068000000}"/>
    <hyperlink ref="I15" location="Details!C1041" display="Details!C1041" xr:uid="{00000000-0004-0000-0000-000069000000}"/>
    <hyperlink ref="J15" location="Details!C1052" display="Details!C1052" xr:uid="{00000000-0004-0000-0000-00006A000000}"/>
    <hyperlink ref="K15" location="Details!C1052" display="Details!C1052" xr:uid="{00000000-0004-0000-0000-00006B000000}"/>
    <hyperlink ref="L15" location="Details!C1059" display="Details!C1059" xr:uid="{00000000-0004-0000-0000-00006C000000}"/>
    <hyperlink ref="M15" location="Details!C1059" display="Details!C1059" xr:uid="{00000000-0004-0000-0000-00006D000000}"/>
    <hyperlink ref="N15" location="Details!C1066" display="Details!C1066" xr:uid="{00000000-0004-0000-0000-00006E000000}"/>
    <hyperlink ref="O15" location="Details!C1066" display="Details!C1066" xr:uid="{00000000-0004-0000-0000-00006F000000}"/>
    <hyperlink ref="T15" location="Details!C1073" display="Details!C1073" xr:uid="{00000000-0004-0000-0000-000070000000}"/>
    <hyperlink ref="U15" location="Details!C1073" display="Details!C1073" xr:uid="{00000000-0004-0000-0000-000071000000}"/>
    <hyperlink ref="B17" location="Details!C1080" display="Details!C1080" xr:uid="{00000000-0004-0000-0000-000072000000}"/>
    <hyperlink ref="C17" location="Details!C1080" display="Details!C1080" xr:uid="{00000000-0004-0000-0000-000073000000}"/>
    <hyperlink ref="D17" location="Details!C1270" display="Details!C1270" xr:uid="{00000000-0004-0000-0000-000074000000}"/>
    <hyperlink ref="E17" location="Details!C1270" display="Details!C1270" xr:uid="{00000000-0004-0000-0000-000075000000}"/>
    <hyperlink ref="F17" location="Details!C1304" display="Details!C1304" xr:uid="{00000000-0004-0000-0000-000076000000}"/>
    <hyperlink ref="G17" location="Details!C1304" display="Details!C1304" xr:uid="{00000000-0004-0000-0000-000077000000}"/>
    <hyperlink ref="H17" location="Details!C1335" display="Details!C1335" xr:uid="{00000000-0004-0000-0000-000078000000}"/>
    <hyperlink ref="I17" location="Details!C1335" display="Details!C1335" xr:uid="{00000000-0004-0000-0000-000079000000}"/>
    <hyperlink ref="J17" location="Details!C1372" display="Details!C1372" xr:uid="{00000000-0004-0000-0000-00007A000000}"/>
    <hyperlink ref="K17" location="Details!C1372" display="Details!C1372" xr:uid="{00000000-0004-0000-0000-00007B000000}"/>
    <hyperlink ref="L17" location="Details!C1403" display="Details!C1403" xr:uid="{00000000-0004-0000-0000-00007C000000}"/>
    <hyperlink ref="M17" location="Details!C1403" display="Details!C1403" xr:uid="{00000000-0004-0000-0000-00007D000000}"/>
    <hyperlink ref="N17" location="Details!C1426" display="Details!C1426" xr:uid="{00000000-0004-0000-0000-00007E000000}"/>
    <hyperlink ref="O17" location="Details!C1426" display="Details!C1426" xr:uid="{00000000-0004-0000-0000-00007F000000}"/>
    <hyperlink ref="P17" location="Details!C1455" display="Details!C1455" xr:uid="{00000000-0004-0000-0000-000080000000}"/>
    <hyperlink ref="Q17" location="Details!C1455" display="Details!C1455" xr:uid="{00000000-0004-0000-0000-000081000000}"/>
    <hyperlink ref="R17" location="Details!C1493" display="Details!C1493" xr:uid="{00000000-0004-0000-0000-000082000000}"/>
    <hyperlink ref="S17" location="Details!C1493" display="Details!C1493" xr:uid="{00000000-0004-0000-0000-000083000000}"/>
    <hyperlink ref="T17" location="Details!C1523" display="Details!C1523" xr:uid="{00000000-0004-0000-0000-000084000000}"/>
    <hyperlink ref="U17" location="Details!C1523" display="Details!C1523" xr:uid="{00000000-0004-0000-0000-000085000000}"/>
    <hyperlink ref="B18" location="Details!C1557" display="Details!C1557" xr:uid="{00000000-0004-0000-0000-000086000000}"/>
    <hyperlink ref="C18" location="Details!C1557" display="Details!C1557" xr:uid="{00000000-0004-0000-0000-000087000000}"/>
    <hyperlink ref="D18" location="Details!C1564" display="Details!C1564" xr:uid="{00000000-0004-0000-0000-000088000000}"/>
    <hyperlink ref="E18" location="Details!C1564" display="Details!C1564" xr:uid="{00000000-0004-0000-0000-000089000000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G1567"/>
  <sheetViews>
    <sheetView workbookViewId="0">
      <selection activeCell="B297" sqref="B297"/>
    </sheetView>
  </sheetViews>
  <sheetFormatPr baseColWidth="10" defaultColWidth="8.88671875" defaultRowHeight="14.4" x14ac:dyDescent="0.3"/>
  <cols>
    <col min="1" max="1" width="23.109375" customWidth="1"/>
    <col min="3" max="3" width="38.21875" customWidth="1"/>
    <col min="4" max="4" width="70.44140625" customWidth="1"/>
    <col min="7" max="7" width="14.5546875" customWidth="1"/>
  </cols>
  <sheetData>
    <row r="2" spans="3:7" x14ac:dyDescent="0.3">
      <c r="C2" s="31" t="s">
        <v>23</v>
      </c>
      <c r="D2" s="32" t="s">
        <v>24</v>
      </c>
      <c r="E2" s="32" t="s">
        <v>10</v>
      </c>
      <c r="F2" s="32" t="s">
        <v>11</v>
      </c>
      <c r="G2" s="33" t="s">
        <v>25</v>
      </c>
    </row>
    <row r="3" spans="3:7" x14ac:dyDescent="0.3">
      <c r="C3" s="34" t="s">
        <v>26</v>
      </c>
      <c r="D3" s="35" t="s">
        <v>27</v>
      </c>
      <c r="E3" s="35">
        <v>0</v>
      </c>
      <c r="F3" s="35">
        <v>0.10481</v>
      </c>
      <c r="G3" s="36">
        <v>3.66</v>
      </c>
    </row>
    <row r="4" spans="3:7" x14ac:dyDescent="0.3">
      <c r="C4" s="34" t="s">
        <v>28</v>
      </c>
      <c r="D4" s="35" t="s">
        <v>29</v>
      </c>
      <c r="E4" s="35">
        <v>0.12</v>
      </c>
      <c r="F4" s="35">
        <v>25</v>
      </c>
      <c r="G4" s="36">
        <v>27.59</v>
      </c>
    </row>
    <row r="5" spans="3:7" x14ac:dyDescent="0.3">
      <c r="C5" s="34" t="s">
        <v>30</v>
      </c>
      <c r="D5" s="37" t="s">
        <v>31</v>
      </c>
      <c r="E5" s="37">
        <v>35.43</v>
      </c>
      <c r="F5" s="37">
        <v>7356.1440000000002</v>
      </c>
      <c r="G5" s="38">
        <v>27.68</v>
      </c>
    </row>
    <row r="6" spans="3:7" x14ac:dyDescent="0.3">
      <c r="C6" s="39"/>
      <c r="D6" s="35" t="s">
        <v>32</v>
      </c>
      <c r="E6" s="35">
        <v>0.46</v>
      </c>
      <c r="F6" s="35">
        <v>20</v>
      </c>
      <c r="G6" s="36">
        <v>5.83</v>
      </c>
    </row>
    <row r="7" spans="3:7" x14ac:dyDescent="0.3">
      <c r="C7" s="39"/>
      <c r="D7" s="35" t="s">
        <v>33</v>
      </c>
      <c r="E7" s="35">
        <v>0.03</v>
      </c>
      <c r="F7" s="35">
        <v>4.274</v>
      </c>
      <c r="G7" s="36">
        <v>18.25</v>
      </c>
    </row>
    <row r="8" spans="3:7" x14ac:dyDescent="0.3">
      <c r="C8" s="39"/>
      <c r="D8" s="35" t="s">
        <v>34</v>
      </c>
      <c r="E8" s="35">
        <v>0.04</v>
      </c>
      <c r="F8" s="35">
        <v>1.909</v>
      </c>
      <c r="G8" s="36">
        <v>7.21</v>
      </c>
    </row>
    <row r="9" spans="3:7" x14ac:dyDescent="0.3">
      <c r="C9" s="39"/>
      <c r="D9" s="35" t="s">
        <v>35</v>
      </c>
      <c r="E9" s="35">
        <v>0.06</v>
      </c>
      <c r="F9" s="35">
        <v>3.2612000000000001</v>
      </c>
      <c r="G9" s="36">
        <v>6.79</v>
      </c>
    </row>
    <row r="10" spans="3:7" x14ac:dyDescent="0.3">
      <c r="C10" s="39"/>
      <c r="D10" s="35" t="s">
        <v>36</v>
      </c>
      <c r="E10" s="35">
        <v>0.32</v>
      </c>
      <c r="F10" s="35">
        <v>24.920010000000001</v>
      </c>
      <c r="G10" s="36">
        <v>10.23</v>
      </c>
    </row>
    <row r="11" spans="3:7" x14ac:dyDescent="0.3">
      <c r="C11" s="39"/>
      <c r="D11" s="35" t="s">
        <v>37</v>
      </c>
      <c r="E11" s="35">
        <v>0.28999999999999998</v>
      </c>
      <c r="F11" s="35">
        <v>24.01</v>
      </c>
      <c r="G11" s="36">
        <v>11.04</v>
      </c>
    </row>
    <row r="12" spans="3:7" x14ac:dyDescent="0.3">
      <c r="C12" s="39"/>
      <c r="D12" s="40" t="s">
        <v>38</v>
      </c>
      <c r="E12" s="40">
        <v>0</v>
      </c>
      <c r="F12" s="40">
        <v>8.0869999999999997E-2</v>
      </c>
      <c r="G12" s="41">
        <v>5.71</v>
      </c>
    </row>
    <row r="13" spans="3:7" x14ac:dyDescent="0.3">
      <c r="C13" s="39"/>
      <c r="D13" s="35" t="s">
        <v>39</v>
      </c>
      <c r="E13" s="35">
        <v>0.4</v>
      </c>
      <c r="F13" s="35">
        <v>12.025</v>
      </c>
      <c r="G13" s="36">
        <v>3.99</v>
      </c>
    </row>
    <row r="14" spans="3:7" x14ac:dyDescent="0.3">
      <c r="C14" s="42"/>
      <c r="D14" s="43" t="s">
        <v>38</v>
      </c>
      <c r="E14" s="43">
        <v>0.47</v>
      </c>
      <c r="F14" s="43">
        <v>20.217500000000001</v>
      </c>
      <c r="G14" s="44">
        <v>5.71</v>
      </c>
    </row>
    <row r="18" spans="3:7" x14ac:dyDescent="0.3">
      <c r="C18" s="31" t="s">
        <v>40</v>
      </c>
      <c r="D18" s="32" t="s">
        <v>24</v>
      </c>
      <c r="E18" s="32" t="s">
        <v>10</v>
      </c>
      <c r="F18" s="32" t="s">
        <v>11</v>
      </c>
      <c r="G18" s="33" t="s">
        <v>25</v>
      </c>
    </row>
    <row r="19" spans="3:7" x14ac:dyDescent="0.3">
      <c r="C19" s="34" t="s">
        <v>41</v>
      </c>
      <c r="D19" s="35" t="s">
        <v>42</v>
      </c>
      <c r="E19" s="35">
        <v>0.26</v>
      </c>
      <c r="F19" s="35">
        <v>7</v>
      </c>
      <c r="G19" s="36">
        <v>3.58</v>
      </c>
    </row>
    <row r="20" spans="3:7" x14ac:dyDescent="0.3">
      <c r="C20" s="34" t="s">
        <v>43</v>
      </c>
      <c r="D20" s="35" t="s">
        <v>44</v>
      </c>
      <c r="E20" s="35">
        <v>0.11</v>
      </c>
      <c r="F20" s="35">
        <v>2.5</v>
      </c>
      <c r="G20" s="36">
        <v>3.09</v>
      </c>
    </row>
    <row r="21" spans="3:7" x14ac:dyDescent="0.3">
      <c r="C21" s="34" t="s">
        <v>30</v>
      </c>
      <c r="D21" s="35" t="s">
        <v>45</v>
      </c>
      <c r="E21" s="35">
        <v>0.22</v>
      </c>
      <c r="F21" s="35">
        <v>10</v>
      </c>
      <c r="G21" s="36">
        <v>6.16</v>
      </c>
    </row>
    <row r="22" spans="3:7" x14ac:dyDescent="0.3">
      <c r="C22" s="39"/>
      <c r="D22" s="35" t="s">
        <v>46</v>
      </c>
      <c r="E22" s="35">
        <v>0.26</v>
      </c>
      <c r="F22" s="35">
        <v>10.6</v>
      </c>
      <c r="G22" s="36">
        <v>5.47</v>
      </c>
    </row>
    <row r="23" spans="3:7" x14ac:dyDescent="0.3">
      <c r="C23" s="39"/>
      <c r="D23" s="35" t="s">
        <v>47</v>
      </c>
      <c r="E23" s="35">
        <v>0.13</v>
      </c>
      <c r="F23" s="35">
        <v>8.1999999999999993</v>
      </c>
      <c r="G23" s="36">
        <v>8.2799999999999994</v>
      </c>
    </row>
    <row r="24" spans="3:7" x14ac:dyDescent="0.3">
      <c r="C24" s="39"/>
      <c r="D24" s="35" t="s">
        <v>48</v>
      </c>
      <c r="E24" s="35">
        <v>0.14000000000000001</v>
      </c>
      <c r="F24" s="35">
        <v>2.2000000000000002</v>
      </c>
      <c r="G24" s="36">
        <v>2.0499999999999998</v>
      </c>
    </row>
    <row r="25" spans="3:7" x14ac:dyDescent="0.3">
      <c r="C25" s="39"/>
      <c r="D25" s="35" t="s">
        <v>49</v>
      </c>
      <c r="E25" s="35">
        <v>0.11</v>
      </c>
      <c r="F25" s="35">
        <v>4.7</v>
      </c>
      <c r="G25" s="36">
        <v>5.59</v>
      </c>
    </row>
    <row r="26" spans="3:7" x14ac:dyDescent="0.3">
      <c r="C26" s="39"/>
      <c r="D26" s="35" t="s">
        <v>50</v>
      </c>
      <c r="E26" s="35">
        <v>0.11</v>
      </c>
      <c r="F26" s="35">
        <v>3.5</v>
      </c>
      <c r="G26" s="36">
        <v>4.1500000000000004</v>
      </c>
    </row>
    <row r="27" spans="3:7" x14ac:dyDescent="0.3">
      <c r="C27" s="39"/>
      <c r="D27" s="35" t="s">
        <v>51</v>
      </c>
      <c r="E27" s="35">
        <v>0.21</v>
      </c>
      <c r="F27" s="35">
        <v>10</v>
      </c>
      <c r="G27" s="36">
        <v>6.47</v>
      </c>
    </row>
    <row r="28" spans="3:7" x14ac:dyDescent="0.3">
      <c r="C28" s="39"/>
      <c r="D28" s="37" t="s">
        <v>37</v>
      </c>
      <c r="E28" s="37">
        <v>0.28999999999999998</v>
      </c>
      <c r="F28" s="37">
        <v>23.957999999999998</v>
      </c>
      <c r="G28" s="38">
        <v>11.04</v>
      </c>
    </row>
    <row r="29" spans="3:7" x14ac:dyDescent="0.3">
      <c r="C29" s="39"/>
      <c r="D29" s="40" t="s">
        <v>52</v>
      </c>
      <c r="E29" s="40">
        <v>0.02</v>
      </c>
      <c r="F29" s="40">
        <v>0.62</v>
      </c>
      <c r="G29" s="41">
        <v>3.9</v>
      </c>
    </row>
    <row r="30" spans="3:7" x14ac:dyDescent="0.3">
      <c r="C30" s="39"/>
      <c r="D30" s="35" t="s">
        <v>53</v>
      </c>
      <c r="E30" s="35">
        <v>0.04</v>
      </c>
      <c r="F30" s="35">
        <v>1.264</v>
      </c>
      <c r="G30" s="36">
        <v>4.4400000000000004</v>
      </c>
    </row>
    <row r="31" spans="3:7" x14ac:dyDescent="0.3">
      <c r="C31" s="39"/>
      <c r="D31" s="35" t="s">
        <v>54</v>
      </c>
      <c r="E31" s="35">
        <v>0.01</v>
      </c>
      <c r="F31" s="35">
        <v>0.69599999999999995</v>
      </c>
      <c r="G31" s="36">
        <v>6.38</v>
      </c>
    </row>
    <row r="32" spans="3:7" x14ac:dyDescent="0.3">
      <c r="C32" s="39"/>
      <c r="D32" s="40" t="s">
        <v>55</v>
      </c>
      <c r="E32" s="40">
        <v>0.02</v>
      </c>
      <c r="F32" s="40">
        <v>0.62</v>
      </c>
      <c r="G32" s="41">
        <v>3.94</v>
      </c>
    </row>
    <row r="33" spans="3:7" x14ac:dyDescent="0.3">
      <c r="C33" s="39"/>
      <c r="D33" s="40" t="s">
        <v>56</v>
      </c>
      <c r="E33" s="40">
        <v>0.02</v>
      </c>
      <c r="F33" s="40">
        <v>0.62</v>
      </c>
      <c r="G33" s="41">
        <v>4.5599999999999996</v>
      </c>
    </row>
    <row r="34" spans="3:7" x14ac:dyDescent="0.3">
      <c r="C34" s="39"/>
      <c r="D34" s="35" t="s">
        <v>39</v>
      </c>
      <c r="E34" s="35">
        <v>0.14000000000000001</v>
      </c>
      <c r="F34" s="35">
        <v>4.298</v>
      </c>
      <c r="G34" s="36">
        <v>3.99</v>
      </c>
    </row>
    <row r="35" spans="3:7" x14ac:dyDescent="0.3">
      <c r="C35" s="42"/>
      <c r="D35" s="43" t="s">
        <v>57</v>
      </c>
      <c r="E35" s="43">
        <v>0.01</v>
      </c>
      <c r="F35" s="43">
        <v>1.226</v>
      </c>
      <c r="G35" s="44">
        <v>14.57</v>
      </c>
    </row>
    <row r="39" spans="3:7" x14ac:dyDescent="0.3">
      <c r="C39" s="31" t="s">
        <v>58</v>
      </c>
      <c r="D39" s="32" t="s">
        <v>24</v>
      </c>
      <c r="E39" s="32" t="s">
        <v>10</v>
      </c>
      <c r="F39" s="32" t="s">
        <v>11</v>
      </c>
      <c r="G39" s="33" t="s">
        <v>25</v>
      </c>
    </row>
    <row r="40" spans="3:7" x14ac:dyDescent="0.3">
      <c r="C40" s="34" t="s">
        <v>59</v>
      </c>
      <c r="D40" s="35" t="s">
        <v>60</v>
      </c>
      <c r="E40" s="35">
        <v>0.12</v>
      </c>
      <c r="F40" s="35">
        <v>2.5</v>
      </c>
      <c r="G40" s="36">
        <v>2.77</v>
      </c>
    </row>
    <row r="41" spans="3:7" x14ac:dyDescent="0.3">
      <c r="C41" s="34" t="s">
        <v>61</v>
      </c>
      <c r="D41" s="35" t="s">
        <v>62</v>
      </c>
      <c r="E41" s="35">
        <v>0.47</v>
      </c>
      <c r="F41" s="35">
        <v>30</v>
      </c>
      <c r="G41" s="36">
        <v>8.5399999999999991</v>
      </c>
    </row>
    <row r="42" spans="3:7" x14ac:dyDescent="0.3">
      <c r="C42" s="34" t="s">
        <v>30</v>
      </c>
      <c r="D42" s="35" t="s">
        <v>63</v>
      </c>
      <c r="E42" s="35">
        <v>0.19</v>
      </c>
      <c r="F42" s="35">
        <v>10.8</v>
      </c>
      <c r="G42" s="36">
        <v>7.71</v>
      </c>
    </row>
    <row r="43" spans="3:7" x14ac:dyDescent="0.3">
      <c r="C43" s="39"/>
      <c r="D43" s="35" t="s">
        <v>64</v>
      </c>
      <c r="E43" s="35">
        <v>0.28999999999999998</v>
      </c>
      <c r="F43" s="35">
        <v>9.52</v>
      </c>
      <c r="G43" s="36">
        <v>4.4000000000000004</v>
      </c>
    </row>
    <row r="44" spans="3:7" x14ac:dyDescent="0.3">
      <c r="C44" s="39"/>
      <c r="D44" s="35" t="s">
        <v>65</v>
      </c>
      <c r="E44" s="35">
        <v>1.1499999999999999</v>
      </c>
      <c r="F44" s="35">
        <v>65</v>
      </c>
      <c r="G44" s="36">
        <v>7.56</v>
      </c>
    </row>
    <row r="45" spans="3:7" x14ac:dyDescent="0.3">
      <c r="C45" s="39"/>
      <c r="D45" s="35" t="s">
        <v>66</v>
      </c>
      <c r="E45" s="35">
        <v>0.49</v>
      </c>
      <c r="F45" s="35">
        <v>18.55</v>
      </c>
      <c r="G45" s="36">
        <v>5</v>
      </c>
    </row>
    <row r="46" spans="3:7" x14ac:dyDescent="0.3">
      <c r="C46" s="39"/>
      <c r="D46" s="37" t="s">
        <v>37</v>
      </c>
      <c r="E46" s="37">
        <v>1.45</v>
      </c>
      <c r="F46" s="37">
        <v>119.79</v>
      </c>
      <c r="G46" s="38">
        <v>11.04</v>
      </c>
    </row>
    <row r="47" spans="3:7" x14ac:dyDescent="0.3">
      <c r="C47" s="39"/>
      <c r="D47" s="35" t="s">
        <v>52</v>
      </c>
      <c r="E47" s="35">
        <v>0.02</v>
      </c>
      <c r="F47" s="35">
        <v>0.623</v>
      </c>
      <c r="G47" s="36">
        <v>3.9</v>
      </c>
    </row>
    <row r="48" spans="3:7" x14ac:dyDescent="0.3">
      <c r="C48" s="39"/>
      <c r="D48" s="35" t="s">
        <v>53</v>
      </c>
      <c r="E48" s="35">
        <v>0.04</v>
      </c>
      <c r="F48" s="35">
        <v>1.2669999999999999</v>
      </c>
      <c r="G48" s="36">
        <v>4.4400000000000004</v>
      </c>
    </row>
    <row r="49" spans="3:7" x14ac:dyDescent="0.3">
      <c r="C49" s="39"/>
      <c r="D49" s="35" t="s">
        <v>54</v>
      </c>
      <c r="E49" s="35">
        <v>0.01</v>
      </c>
      <c r="F49" s="35">
        <v>0.69599999999999995</v>
      </c>
      <c r="G49" s="36">
        <v>6.38</v>
      </c>
    </row>
    <row r="50" spans="3:7" x14ac:dyDescent="0.3">
      <c r="C50" s="39"/>
      <c r="D50" s="40" t="s">
        <v>55</v>
      </c>
      <c r="E50" s="40">
        <v>0.02</v>
      </c>
      <c r="F50" s="40">
        <v>0.62</v>
      </c>
      <c r="G50" s="41">
        <v>3.94</v>
      </c>
    </row>
    <row r="51" spans="3:7" x14ac:dyDescent="0.3">
      <c r="C51" s="39"/>
      <c r="D51" s="40" t="s">
        <v>56</v>
      </c>
      <c r="E51" s="40">
        <v>0.02</v>
      </c>
      <c r="F51" s="40">
        <v>0.62</v>
      </c>
      <c r="G51" s="41">
        <v>4.5599999999999996</v>
      </c>
    </row>
    <row r="52" spans="3:7" x14ac:dyDescent="0.3">
      <c r="C52" s="42"/>
      <c r="D52" s="43" t="s">
        <v>57</v>
      </c>
      <c r="E52" s="43">
        <v>0.01</v>
      </c>
      <c r="F52" s="43">
        <v>1.226</v>
      </c>
      <c r="G52" s="44">
        <v>14.57</v>
      </c>
    </row>
    <row r="56" spans="3:7" x14ac:dyDescent="0.3">
      <c r="C56" s="31" t="s">
        <v>67</v>
      </c>
      <c r="D56" s="32" t="s">
        <v>24</v>
      </c>
      <c r="E56" s="32" t="s">
        <v>10</v>
      </c>
      <c r="F56" s="32" t="s">
        <v>11</v>
      </c>
      <c r="G56" s="33" t="s">
        <v>25</v>
      </c>
    </row>
    <row r="57" spans="3:7" x14ac:dyDescent="0.3">
      <c r="C57" s="34" t="s">
        <v>68</v>
      </c>
      <c r="D57" s="35" t="s">
        <v>44</v>
      </c>
      <c r="E57" s="35">
        <v>0.11</v>
      </c>
      <c r="F57" s="35">
        <v>2.5</v>
      </c>
      <c r="G57" s="36">
        <v>3.09</v>
      </c>
    </row>
    <row r="58" spans="3:7" x14ac:dyDescent="0.3">
      <c r="C58" s="34" t="s">
        <v>69</v>
      </c>
      <c r="D58" s="35" t="s">
        <v>47</v>
      </c>
      <c r="E58" s="35">
        <v>0.23</v>
      </c>
      <c r="F58" s="35">
        <v>14</v>
      </c>
      <c r="G58" s="36">
        <v>8.2799999999999994</v>
      </c>
    </row>
    <row r="59" spans="3:7" x14ac:dyDescent="0.3">
      <c r="C59" s="34" t="s">
        <v>30</v>
      </c>
      <c r="D59" s="35" t="s">
        <v>70</v>
      </c>
      <c r="E59" s="35">
        <v>0.18</v>
      </c>
      <c r="F59" s="35">
        <v>9.6300000000000008</v>
      </c>
      <c r="G59" s="36">
        <v>7.21</v>
      </c>
    </row>
    <row r="60" spans="3:7" x14ac:dyDescent="0.3">
      <c r="C60" s="39"/>
      <c r="D60" s="35" t="s">
        <v>36</v>
      </c>
      <c r="E60" s="35">
        <v>0.32</v>
      </c>
      <c r="F60" s="35">
        <v>24.711680000000001</v>
      </c>
      <c r="G60" s="36">
        <v>10.23</v>
      </c>
    </row>
    <row r="61" spans="3:7" x14ac:dyDescent="0.3">
      <c r="C61" s="39"/>
      <c r="D61" s="35" t="s">
        <v>71</v>
      </c>
      <c r="E61" s="35">
        <v>0.43</v>
      </c>
      <c r="F61" s="35">
        <v>8.0839999999999996</v>
      </c>
      <c r="G61" s="36">
        <v>2.5</v>
      </c>
    </row>
    <row r="62" spans="3:7" x14ac:dyDescent="0.3">
      <c r="C62" s="39"/>
      <c r="D62" s="35" t="s">
        <v>72</v>
      </c>
      <c r="E62" s="35">
        <v>0.02</v>
      </c>
      <c r="F62" s="35">
        <v>1.38</v>
      </c>
      <c r="G62" s="36">
        <v>7.61</v>
      </c>
    </row>
    <row r="63" spans="3:7" x14ac:dyDescent="0.3">
      <c r="C63" s="39"/>
      <c r="D63" s="35" t="s">
        <v>48</v>
      </c>
      <c r="E63" s="35">
        <v>0.14000000000000001</v>
      </c>
      <c r="F63" s="35">
        <v>2.2000000000000002</v>
      </c>
      <c r="G63" s="36">
        <v>2.0499999999999998</v>
      </c>
    </row>
    <row r="64" spans="3:7" x14ac:dyDescent="0.3">
      <c r="C64" s="39"/>
      <c r="D64" s="35" t="s">
        <v>50</v>
      </c>
      <c r="E64" s="35">
        <v>0.11</v>
      </c>
      <c r="F64" s="35">
        <v>3.5</v>
      </c>
      <c r="G64" s="36">
        <v>4.1500000000000004</v>
      </c>
    </row>
    <row r="65" spans="3:7" x14ac:dyDescent="0.3">
      <c r="C65" s="39"/>
      <c r="D65" s="35" t="s">
        <v>51</v>
      </c>
      <c r="E65" s="35">
        <v>0.31</v>
      </c>
      <c r="F65" s="35">
        <v>15</v>
      </c>
      <c r="G65" s="36">
        <v>6.47</v>
      </c>
    </row>
    <row r="66" spans="3:7" x14ac:dyDescent="0.3">
      <c r="C66" s="39"/>
      <c r="D66" s="35" t="s">
        <v>65</v>
      </c>
      <c r="E66" s="35">
        <v>1.27</v>
      </c>
      <c r="F66" s="35">
        <v>72</v>
      </c>
      <c r="G66" s="36">
        <v>7.56</v>
      </c>
    </row>
    <row r="67" spans="3:7" x14ac:dyDescent="0.3">
      <c r="C67" s="39"/>
      <c r="D67" s="37" t="s">
        <v>37</v>
      </c>
      <c r="E67" s="37">
        <v>1.1599999999999999</v>
      </c>
      <c r="F67" s="37">
        <v>95.831999999999994</v>
      </c>
      <c r="G67" s="38">
        <v>11.04</v>
      </c>
    </row>
    <row r="68" spans="3:7" x14ac:dyDescent="0.3">
      <c r="C68" s="39"/>
      <c r="D68" s="35" t="s">
        <v>73</v>
      </c>
      <c r="E68" s="35">
        <v>0.06</v>
      </c>
      <c r="F68" s="35">
        <v>2.492</v>
      </c>
      <c r="G68" s="36">
        <v>6</v>
      </c>
    </row>
    <row r="69" spans="3:7" x14ac:dyDescent="0.3">
      <c r="C69" s="39"/>
      <c r="D69" s="35" t="s">
        <v>74</v>
      </c>
      <c r="E69" s="35">
        <v>0.39</v>
      </c>
      <c r="F69" s="35">
        <v>19</v>
      </c>
      <c r="G69" s="36">
        <v>6.43</v>
      </c>
    </row>
    <row r="70" spans="3:7" x14ac:dyDescent="0.3">
      <c r="C70" s="39"/>
      <c r="D70" s="35" t="s">
        <v>75</v>
      </c>
      <c r="E70" s="35">
        <v>0.03</v>
      </c>
      <c r="F70" s="35">
        <v>3.7029999999999998</v>
      </c>
      <c r="G70" s="36">
        <v>14.22</v>
      </c>
    </row>
    <row r="71" spans="3:7" x14ac:dyDescent="0.3">
      <c r="C71" s="39"/>
      <c r="D71" s="35" t="s">
        <v>76</v>
      </c>
      <c r="E71" s="35">
        <v>0.13</v>
      </c>
      <c r="F71" s="35">
        <v>1.228</v>
      </c>
      <c r="G71" s="36">
        <v>1.28</v>
      </c>
    </row>
    <row r="72" spans="3:7" x14ac:dyDescent="0.3">
      <c r="C72" s="39"/>
      <c r="D72" s="35" t="s">
        <v>77</v>
      </c>
      <c r="E72" s="35">
        <v>0.05</v>
      </c>
      <c r="F72" s="35">
        <v>1.2370000000000001</v>
      </c>
      <c r="G72" s="36">
        <v>3.19</v>
      </c>
    </row>
    <row r="73" spans="3:7" x14ac:dyDescent="0.3">
      <c r="C73" s="39"/>
      <c r="D73" s="35" t="s">
        <v>31</v>
      </c>
      <c r="E73" s="35">
        <v>0.01</v>
      </c>
      <c r="F73" s="35">
        <v>1.845</v>
      </c>
      <c r="G73" s="36">
        <v>27.68</v>
      </c>
    </row>
    <row r="74" spans="3:7" x14ac:dyDescent="0.3">
      <c r="C74" s="39"/>
      <c r="D74" s="35" t="s">
        <v>78</v>
      </c>
      <c r="E74" s="35">
        <v>0.03</v>
      </c>
      <c r="F74" s="35">
        <v>2.4790000000000001</v>
      </c>
      <c r="G74" s="36">
        <v>12.78</v>
      </c>
    </row>
    <row r="75" spans="3:7" x14ac:dyDescent="0.3">
      <c r="C75" s="39"/>
      <c r="D75" s="35" t="s">
        <v>79</v>
      </c>
      <c r="E75" s="35">
        <v>0</v>
      </c>
      <c r="F75" s="35">
        <v>1.252</v>
      </c>
      <c r="G75" s="36">
        <v>69.94</v>
      </c>
    </row>
    <row r="76" spans="3:7" x14ac:dyDescent="0.3">
      <c r="C76" s="39"/>
      <c r="D76" s="35" t="s">
        <v>80</v>
      </c>
      <c r="E76" s="35">
        <v>0.01</v>
      </c>
      <c r="F76" s="35">
        <v>1.2370000000000001</v>
      </c>
      <c r="G76" s="36">
        <v>11.59</v>
      </c>
    </row>
    <row r="77" spans="3:7" x14ac:dyDescent="0.3">
      <c r="C77" s="39"/>
      <c r="D77" s="35" t="s">
        <v>52</v>
      </c>
      <c r="E77" s="35">
        <v>0.04</v>
      </c>
      <c r="F77" s="35">
        <v>1.2410000000000001</v>
      </c>
      <c r="G77" s="36">
        <v>3.9</v>
      </c>
    </row>
    <row r="78" spans="3:7" x14ac:dyDescent="0.3">
      <c r="C78" s="39"/>
      <c r="D78" s="35" t="s">
        <v>81</v>
      </c>
      <c r="E78" s="35">
        <v>0.08</v>
      </c>
      <c r="F78" s="35">
        <v>1.857</v>
      </c>
      <c r="G78" s="36">
        <v>3.11</v>
      </c>
    </row>
    <row r="79" spans="3:7" x14ac:dyDescent="0.3">
      <c r="C79" s="39"/>
      <c r="D79" s="35" t="s">
        <v>82</v>
      </c>
      <c r="E79" s="35">
        <v>7.0000000000000007E-2</v>
      </c>
      <c r="F79" s="35">
        <v>2.4420000000000002</v>
      </c>
      <c r="G79" s="36">
        <v>4.37</v>
      </c>
    </row>
    <row r="80" spans="3:7" x14ac:dyDescent="0.3">
      <c r="C80" s="39"/>
      <c r="D80" s="35" t="s">
        <v>83</v>
      </c>
      <c r="E80" s="35">
        <v>0.08</v>
      </c>
      <c r="F80" s="35">
        <v>3.7109999999999999</v>
      </c>
      <c r="G80" s="36">
        <v>6.28</v>
      </c>
    </row>
    <row r="81" spans="3:7" x14ac:dyDescent="0.3">
      <c r="C81" s="39"/>
      <c r="D81" s="35" t="s">
        <v>53</v>
      </c>
      <c r="E81" s="35">
        <v>0.08</v>
      </c>
      <c r="F81" s="35">
        <v>2.5289999999999999</v>
      </c>
      <c r="G81" s="36">
        <v>4.4400000000000004</v>
      </c>
    </row>
    <row r="82" spans="3:7" x14ac:dyDescent="0.3">
      <c r="C82" s="39"/>
      <c r="D82" s="35" t="s">
        <v>84</v>
      </c>
      <c r="E82" s="35">
        <v>0.15</v>
      </c>
      <c r="F82" s="35">
        <v>8</v>
      </c>
      <c r="G82" s="36">
        <v>7.29</v>
      </c>
    </row>
    <row r="83" spans="3:7" x14ac:dyDescent="0.3">
      <c r="C83" s="39"/>
      <c r="D83" s="35" t="s">
        <v>85</v>
      </c>
      <c r="E83" s="35">
        <v>0.16</v>
      </c>
      <c r="F83" s="35">
        <v>2</v>
      </c>
      <c r="G83" s="36">
        <v>1.72</v>
      </c>
    </row>
    <row r="84" spans="3:7" x14ac:dyDescent="0.3">
      <c r="C84" s="39"/>
      <c r="D84" s="35" t="s">
        <v>54</v>
      </c>
      <c r="E84" s="35">
        <v>0.03</v>
      </c>
      <c r="F84" s="35">
        <v>1.393</v>
      </c>
      <c r="G84" s="36">
        <v>6.38</v>
      </c>
    </row>
    <row r="85" spans="3:7" x14ac:dyDescent="0.3">
      <c r="C85" s="39"/>
      <c r="D85" s="35" t="s">
        <v>86</v>
      </c>
      <c r="E85" s="35">
        <v>0.22</v>
      </c>
      <c r="F85" s="35">
        <v>2</v>
      </c>
      <c r="G85" s="36">
        <v>1.23</v>
      </c>
    </row>
    <row r="86" spans="3:7" x14ac:dyDescent="0.3">
      <c r="C86" s="39"/>
      <c r="D86" s="40" t="s">
        <v>55</v>
      </c>
      <c r="E86" s="40">
        <v>0.02</v>
      </c>
      <c r="F86" s="40">
        <v>0.62</v>
      </c>
      <c r="G86" s="41">
        <v>3.94</v>
      </c>
    </row>
    <row r="87" spans="3:7" x14ac:dyDescent="0.3">
      <c r="C87" s="39"/>
      <c r="D87" s="40" t="s">
        <v>56</v>
      </c>
      <c r="E87" s="40">
        <v>0.02</v>
      </c>
      <c r="F87" s="40">
        <v>0.62</v>
      </c>
      <c r="G87" s="41">
        <v>4.5599999999999996</v>
      </c>
    </row>
    <row r="88" spans="3:7" x14ac:dyDescent="0.3">
      <c r="C88" s="39"/>
      <c r="D88" s="35" t="s">
        <v>87</v>
      </c>
      <c r="E88" s="35">
        <v>0.11</v>
      </c>
      <c r="F88" s="35">
        <v>5</v>
      </c>
      <c r="G88" s="36">
        <v>5.96</v>
      </c>
    </row>
    <row r="89" spans="3:7" x14ac:dyDescent="0.3">
      <c r="C89" s="39"/>
      <c r="D89" s="35" t="s">
        <v>88</v>
      </c>
      <c r="E89" s="35">
        <v>0.17</v>
      </c>
      <c r="F89" s="35">
        <v>7.5</v>
      </c>
      <c r="G89" s="36">
        <v>5.79</v>
      </c>
    </row>
    <row r="90" spans="3:7" x14ac:dyDescent="0.3">
      <c r="C90" s="39"/>
      <c r="D90" s="35" t="s">
        <v>89</v>
      </c>
      <c r="E90" s="35">
        <v>0.77</v>
      </c>
      <c r="F90" s="35">
        <v>20</v>
      </c>
      <c r="G90" s="36">
        <v>3.46</v>
      </c>
    </row>
    <row r="91" spans="3:7" x14ac:dyDescent="0.3">
      <c r="C91" s="39"/>
      <c r="D91" s="35" t="s">
        <v>90</v>
      </c>
      <c r="E91" s="35">
        <v>0.05</v>
      </c>
      <c r="F91" s="35">
        <v>5</v>
      </c>
      <c r="G91" s="36">
        <v>14.57</v>
      </c>
    </row>
    <row r="92" spans="3:7" x14ac:dyDescent="0.3">
      <c r="C92" s="39"/>
      <c r="D92" s="35" t="s">
        <v>39</v>
      </c>
      <c r="E92" s="35">
        <v>0.23</v>
      </c>
      <c r="F92" s="35">
        <v>6.8768000000000002</v>
      </c>
      <c r="G92" s="36">
        <v>3.99</v>
      </c>
    </row>
    <row r="93" spans="3:7" x14ac:dyDescent="0.3">
      <c r="C93" s="39"/>
      <c r="D93" s="35" t="s">
        <v>91</v>
      </c>
      <c r="E93" s="35">
        <v>0.26</v>
      </c>
      <c r="F93" s="35">
        <v>11.942449999999999</v>
      </c>
      <c r="G93" s="36">
        <v>6.16</v>
      </c>
    </row>
    <row r="94" spans="3:7" x14ac:dyDescent="0.3">
      <c r="C94" s="39"/>
      <c r="D94" s="35" t="s">
        <v>92</v>
      </c>
      <c r="E94" s="35">
        <v>0.15</v>
      </c>
      <c r="F94" s="35">
        <v>5.4081599999999996</v>
      </c>
      <c r="G94" s="36">
        <v>4.8600000000000003</v>
      </c>
    </row>
    <row r="95" spans="3:7" x14ac:dyDescent="0.3">
      <c r="C95" s="39"/>
      <c r="D95" s="35" t="s">
        <v>38</v>
      </c>
      <c r="E95" s="35">
        <v>0.47</v>
      </c>
      <c r="F95" s="35">
        <v>20.217500000000001</v>
      </c>
      <c r="G95" s="36">
        <v>5.71</v>
      </c>
    </row>
    <row r="96" spans="3:7" x14ac:dyDescent="0.3">
      <c r="C96" s="42"/>
      <c r="D96" s="43" t="s">
        <v>57</v>
      </c>
      <c r="E96" s="43">
        <v>0.02</v>
      </c>
      <c r="F96" s="43">
        <v>2.4529999999999998</v>
      </c>
      <c r="G96" s="44">
        <v>14.57</v>
      </c>
    </row>
    <row r="100" spans="3:7" x14ac:dyDescent="0.3">
      <c r="C100" s="31" t="s">
        <v>93</v>
      </c>
      <c r="D100" s="32" t="s">
        <v>24</v>
      </c>
      <c r="E100" s="32" t="s">
        <v>10</v>
      </c>
      <c r="F100" s="32" t="s">
        <v>11</v>
      </c>
      <c r="G100" s="33" t="s">
        <v>25</v>
      </c>
    </row>
    <row r="101" spans="3:7" x14ac:dyDescent="0.3">
      <c r="C101" s="34" t="s">
        <v>94</v>
      </c>
      <c r="D101" s="35" t="s">
        <v>32</v>
      </c>
      <c r="E101" s="35">
        <v>0.46</v>
      </c>
      <c r="F101" s="35">
        <v>20</v>
      </c>
      <c r="G101" s="36">
        <v>5.83</v>
      </c>
    </row>
    <row r="102" spans="3:7" x14ac:dyDescent="0.3">
      <c r="C102" s="34" t="s">
        <v>95</v>
      </c>
      <c r="D102" s="35" t="s">
        <v>96</v>
      </c>
      <c r="E102" s="35">
        <v>0.02</v>
      </c>
      <c r="F102" s="35">
        <v>2.5</v>
      </c>
      <c r="G102" s="36">
        <v>19.309999999999999</v>
      </c>
    </row>
    <row r="103" spans="3:7" x14ac:dyDescent="0.3">
      <c r="C103" s="34" t="s">
        <v>30</v>
      </c>
      <c r="D103" s="35" t="s">
        <v>97</v>
      </c>
      <c r="E103" s="35">
        <v>0.02</v>
      </c>
      <c r="F103" s="35">
        <v>2.5</v>
      </c>
      <c r="G103" s="36">
        <v>19.309999999999999</v>
      </c>
    </row>
    <row r="104" spans="3:7" x14ac:dyDescent="0.3">
      <c r="C104" s="39"/>
      <c r="D104" s="35" t="s">
        <v>97</v>
      </c>
      <c r="E104" s="35">
        <v>0.02</v>
      </c>
      <c r="F104" s="35">
        <v>2.5</v>
      </c>
      <c r="G104" s="36">
        <v>19.309999999999999</v>
      </c>
    </row>
    <row r="105" spans="3:7" x14ac:dyDescent="0.3">
      <c r="C105" s="39"/>
      <c r="D105" s="35" t="s">
        <v>97</v>
      </c>
      <c r="E105" s="35">
        <v>0.01</v>
      </c>
      <c r="F105" s="35">
        <v>1.716</v>
      </c>
      <c r="G105" s="36">
        <v>19.309999999999999</v>
      </c>
    </row>
    <row r="106" spans="3:7" x14ac:dyDescent="0.3">
      <c r="C106" s="39"/>
      <c r="D106" s="35" t="s">
        <v>97</v>
      </c>
      <c r="E106" s="35">
        <v>0.02</v>
      </c>
      <c r="F106" s="35">
        <v>2.5</v>
      </c>
      <c r="G106" s="36">
        <v>19.309999999999999</v>
      </c>
    </row>
    <row r="107" spans="3:7" x14ac:dyDescent="0.3">
      <c r="C107" s="39"/>
      <c r="D107" s="35" t="s">
        <v>96</v>
      </c>
      <c r="E107" s="35">
        <v>0.02</v>
      </c>
      <c r="F107" s="35">
        <v>2.5</v>
      </c>
      <c r="G107" s="36">
        <v>19.309999999999999</v>
      </c>
    </row>
    <row r="108" spans="3:7" x14ac:dyDescent="0.3">
      <c r="C108" s="39"/>
      <c r="D108" s="35" t="s">
        <v>98</v>
      </c>
      <c r="E108" s="35">
        <v>0.02</v>
      </c>
      <c r="F108" s="35">
        <v>2.5</v>
      </c>
      <c r="G108" s="36">
        <v>21.79</v>
      </c>
    </row>
    <row r="109" spans="3:7" x14ac:dyDescent="0.3">
      <c r="C109" s="39"/>
      <c r="D109" s="35" t="s">
        <v>99</v>
      </c>
      <c r="E109" s="35">
        <v>0.01</v>
      </c>
      <c r="F109" s="35">
        <v>2.5</v>
      </c>
      <c r="G109" s="36">
        <v>29.4</v>
      </c>
    </row>
    <row r="110" spans="3:7" x14ac:dyDescent="0.3">
      <c r="C110" s="39"/>
      <c r="D110" s="35" t="s">
        <v>99</v>
      </c>
      <c r="E110" s="35">
        <v>0.01</v>
      </c>
      <c r="F110" s="35">
        <v>2.5</v>
      </c>
      <c r="G110" s="36">
        <v>29.4</v>
      </c>
    </row>
    <row r="111" spans="3:7" x14ac:dyDescent="0.3">
      <c r="C111" s="39"/>
      <c r="D111" s="35" t="s">
        <v>99</v>
      </c>
      <c r="E111" s="35">
        <v>0.01</v>
      </c>
      <c r="F111" s="35">
        <v>2.5</v>
      </c>
      <c r="G111" s="36">
        <v>29.4</v>
      </c>
    </row>
    <row r="112" spans="3:7" x14ac:dyDescent="0.3">
      <c r="C112" s="39"/>
      <c r="D112" s="35" t="s">
        <v>99</v>
      </c>
      <c r="E112" s="35">
        <v>0.01</v>
      </c>
      <c r="F112" s="35">
        <v>2.5</v>
      </c>
      <c r="G112" s="36">
        <v>29.4</v>
      </c>
    </row>
    <row r="113" spans="3:7" x14ac:dyDescent="0.3">
      <c r="C113" s="39"/>
      <c r="D113" s="35" t="s">
        <v>98</v>
      </c>
      <c r="E113" s="35">
        <v>0.02</v>
      </c>
      <c r="F113" s="35">
        <v>2.5</v>
      </c>
      <c r="G113" s="36">
        <v>21.79</v>
      </c>
    </row>
    <row r="114" spans="3:7" x14ac:dyDescent="0.3">
      <c r="C114" s="39"/>
      <c r="D114" s="35" t="s">
        <v>98</v>
      </c>
      <c r="E114" s="35">
        <v>0.02</v>
      </c>
      <c r="F114" s="35">
        <v>2.5</v>
      </c>
      <c r="G114" s="36">
        <v>21.79</v>
      </c>
    </row>
    <row r="115" spans="3:7" x14ac:dyDescent="0.3">
      <c r="C115" s="39"/>
      <c r="D115" s="35" t="s">
        <v>98</v>
      </c>
      <c r="E115" s="35">
        <v>0.02</v>
      </c>
      <c r="F115" s="35">
        <v>2.5</v>
      </c>
      <c r="G115" s="36">
        <v>21.79</v>
      </c>
    </row>
    <row r="116" spans="3:7" x14ac:dyDescent="0.3">
      <c r="C116" s="39"/>
      <c r="D116" s="35" t="s">
        <v>98</v>
      </c>
      <c r="E116" s="35">
        <v>0.02</v>
      </c>
      <c r="F116" s="35">
        <v>2.5</v>
      </c>
      <c r="G116" s="36">
        <v>21.79</v>
      </c>
    </row>
    <row r="117" spans="3:7" x14ac:dyDescent="0.3">
      <c r="C117" s="39"/>
      <c r="D117" s="35" t="s">
        <v>62</v>
      </c>
      <c r="E117" s="35">
        <v>0.37</v>
      </c>
      <c r="F117" s="35">
        <v>24</v>
      </c>
      <c r="G117" s="36">
        <v>8.5399999999999991</v>
      </c>
    </row>
    <row r="118" spans="3:7" x14ac:dyDescent="0.3">
      <c r="C118" s="39"/>
      <c r="D118" s="35" t="s">
        <v>63</v>
      </c>
      <c r="E118" s="35">
        <v>0.09</v>
      </c>
      <c r="F118" s="35">
        <v>5.4</v>
      </c>
      <c r="G118" s="36">
        <v>7.71</v>
      </c>
    </row>
    <row r="119" spans="3:7" x14ac:dyDescent="0.3">
      <c r="C119" s="39"/>
      <c r="D119" s="37" t="s">
        <v>37</v>
      </c>
      <c r="E119" s="37">
        <v>0.87</v>
      </c>
      <c r="F119" s="37">
        <v>71.873999999999995</v>
      </c>
      <c r="G119" s="38">
        <v>11.04</v>
      </c>
    </row>
    <row r="120" spans="3:7" x14ac:dyDescent="0.3">
      <c r="C120" s="39"/>
      <c r="D120" s="35" t="s">
        <v>73</v>
      </c>
      <c r="E120" s="35">
        <v>0.06</v>
      </c>
      <c r="F120" s="35">
        <v>2.492</v>
      </c>
      <c r="G120" s="36">
        <v>6</v>
      </c>
    </row>
    <row r="121" spans="3:7" x14ac:dyDescent="0.3">
      <c r="C121" s="39"/>
      <c r="D121" s="35" t="s">
        <v>75</v>
      </c>
      <c r="E121" s="35">
        <v>0.03</v>
      </c>
      <c r="F121" s="35">
        <v>3.7029999999999998</v>
      </c>
      <c r="G121" s="36">
        <v>14.22</v>
      </c>
    </row>
    <row r="122" spans="3:7" x14ac:dyDescent="0.3">
      <c r="C122" s="39"/>
      <c r="D122" s="35" t="s">
        <v>76</v>
      </c>
      <c r="E122" s="35">
        <v>0.13</v>
      </c>
      <c r="F122" s="35">
        <v>1.228</v>
      </c>
      <c r="G122" s="36">
        <v>1.28</v>
      </c>
    </row>
    <row r="123" spans="3:7" x14ac:dyDescent="0.3">
      <c r="C123" s="39"/>
      <c r="D123" s="35" t="s">
        <v>77</v>
      </c>
      <c r="E123" s="35">
        <v>0.05</v>
      </c>
      <c r="F123" s="35">
        <v>1.2370000000000001</v>
      </c>
      <c r="G123" s="36">
        <v>3.19</v>
      </c>
    </row>
    <row r="124" spans="3:7" x14ac:dyDescent="0.3">
      <c r="C124" s="39"/>
      <c r="D124" s="35" t="s">
        <v>31</v>
      </c>
      <c r="E124" s="35">
        <v>0.01</v>
      </c>
      <c r="F124" s="35">
        <v>1.845</v>
      </c>
      <c r="G124" s="36">
        <v>27.68</v>
      </c>
    </row>
    <row r="125" spans="3:7" x14ac:dyDescent="0.3">
      <c r="C125" s="39"/>
      <c r="D125" s="35" t="s">
        <v>78</v>
      </c>
      <c r="E125" s="35">
        <v>0.03</v>
      </c>
      <c r="F125" s="35">
        <v>2.4790000000000001</v>
      </c>
      <c r="G125" s="36">
        <v>12.78</v>
      </c>
    </row>
    <row r="126" spans="3:7" x14ac:dyDescent="0.3">
      <c r="C126" s="39"/>
      <c r="D126" s="35" t="s">
        <v>79</v>
      </c>
      <c r="E126" s="35">
        <v>0</v>
      </c>
      <c r="F126" s="35">
        <v>1.252</v>
      </c>
      <c r="G126" s="36">
        <v>69.94</v>
      </c>
    </row>
    <row r="127" spans="3:7" x14ac:dyDescent="0.3">
      <c r="C127" s="39"/>
      <c r="D127" s="35" t="s">
        <v>80</v>
      </c>
      <c r="E127" s="35">
        <v>0.01</v>
      </c>
      <c r="F127" s="35">
        <v>1.2370000000000001</v>
      </c>
      <c r="G127" s="36">
        <v>11.59</v>
      </c>
    </row>
    <row r="128" spans="3:7" x14ac:dyDescent="0.3">
      <c r="C128" s="39"/>
      <c r="D128" s="35" t="s">
        <v>52</v>
      </c>
      <c r="E128" s="35">
        <v>0.04</v>
      </c>
      <c r="F128" s="35">
        <v>1.2410000000000001</v>
      </c>
      <c r="G128" s="36">
        <v>3.9</v>
      </c>
    </row>
    <row r="129" spans="3:7" x14ac:dyDescent="0.3">
      <c r="C129" s="39"/>
      <c r="D129" s="35" t="s">
        <v>81</v>
      </c>
      <c r="E129" s="35">
        <v>0.08</v>
      </c>
      <c r="F129" s="35">
        <v>1.857</v>
      </c>
      <c r="G129" s="36">
        <v>3.11</v>
      </c>
    </row>
    <row r="130" spans="3:7" x14ac:dyDescent="0.3">
      <c r="C130" s="39"/>
      <c r="D130" s="35" t="s">
        <v>82</v>
      </c>
      <c r="E130" s="35">
        <v>7.0000000000000007E-2</v>
      </c>
      <c r="F130" s="35">
        <v>2.4420000000000002</v>
      </c>
      <c r="G130" s="36">
        <v>4.37</v>
      </c>
    </row>
    <row r="131" spans="3:7" x14ac:dyDescent="0.3">
      <c r="C131" s="39"/>
      <c r="D131" s="35" t="s">
        <v>83</v>
      </c>
      <c r="E131" s="35">
        <v>0.08</v>
      </c>
      <c r="F131" s="35">
        <v>3.7109999999999999</v>
      </c>
      <c r="G131" s="36">
        <v>6.28</v>
      </c>
    </row>
    <row r="132" spans="3:7" x14ac:dyDescent="0.3">
      <c r="C132" s="39"/>
      <c r="D132" s="35" t="s">
        <v>53</v>
      </c>
      <c r="E132" s="35">
        <v>0.08</v>
      </c>
      <c r="F132" s="35">
        <v>2.5289999999999999</v>
      </c>
      <c r="G132" s="36">
        <v>4.4400000000000004</v>
      </c>
    </row>
    <row r="133" spans="3:7" x14ac:dyDescent="0.3">
      <c r="C133" s="39"/>
      <c r="D133" s="35" t="s">
        <v>54</v>
      </c>
      <c r="E133" s="35">
        <v>0.03</v>
      </c>
      <c r="F133" s="35">
        <v>1.393</v>
      </c>
      <c r="G133" s="36">
        <v>6.38</v>
      </c>
    </row>
    <row r="134" spans="3:7" x14ac:dyDescent="0.3">
      <c r="C134" s="39"/>
      <c r="D134" s="40" t="s">
        <v>55</v>
      </c>
      <c r="E134" s="40">
        <v>0.02</v>
      </c>
      <c r="F134" s="40">
        <v>0.62</v>
      </c>
      <c r="G134" s="41">
        <v>3.94</v>
      </c>
    </row>
    <row r="135" spans="3:7" x14ac:dyDescent="0.3">
      <c r="C135" s="39"/>
      <c r="D135" s="40" t="s">
        <v>56</v>
      </c>
      <c r="E135" s="40">
        <v>0.02</v>
      </c>
      <c r="F135" s="40">
        <v>0.62</v>
      </c>
      <c r="G135" s="41">
        <v>4.5599999999999996</v>
      </c>
    </row>
    <row r="136" spans="3:7" x14ac:dyDescent="0.3">
      <c r="C136" s="42"/>
      <c r="D136" s="43" t="s">
        <v>57</v>
      </c>
      <c r="E136" s="43">
        <v>0.02</v>
      </c>
      <c r="F136" s="43">
        <v>2.4529999999999998</v>
      </c>
      <c r="G136" s="44">
        <v>14.57</v>
      </c>
    </row>
    <row r="140" spans="3:7" x14ac:dyDescent="0.3">
      <c r="C140" s="31" t="s">
        <v>100</v>
      </c>
      <c r="D140" s="32" t="s">
        <v>24</v>
      </c>
      <c r="E140" s="32" t="s">
        <v>10</v>
      </c>
      <c r="F140" s="32" t="s">
        <v>11</v>
      </c>
      <c r="G140" s="33" t="s">
        <v>25</v>
      </c>
    </row>
    <row r="141" spans="3:7" x14ac:dyDescent="0.3">
      <c r="C141" s="34" t="s">
        <v>101</v>
      </c>
      <c r="D141" s="35" t="s">
        <v>102</v>
      </c>
      <c r="E141" s="35">
        <v>0.08</v>
      </c>
      <c r="F141" s="35">
        <v>9.5</v>
      </c>
      <c r="G141" s="36">
        <v>15.11</v>
      </c>
    </row>
    <row r="142" spans="3:7" x14ac:dyDescent="0.3">
      <c r="C142" s="34" t="s">
        <v>103</v>
      </c>
      <c r="D142" s="35" t="s">
        <v>44</v>
      </c>
      <c r="E142" s="35">
        <v>0.11</v>
      </c>
      <c r="F142" s="35">
        <v>2.5</v>
      </c>
      <c r="G142" s="36">
        <v>3.09</v>
      </c>
    </row>
    <row r="143" spans="3:7" x14ac:dyDescent="0.3">
      <c r="C143" s="34" t="s">
        <v>30</v>
      </c>
      <c r="D143" s="35" t="s">
        <v>70</v>
      </c>
      <c r="E143" s="35">
        <v>0.16</v>
      </c>
      <c r="F143" s="35">
        <v>8.56</v>
      </c>
      <c r="G143" s="36">
        <v>7.21</v>
      </c>
    </row>
    <row r="144" spans="3:7" x14ac:dyDescent="0.3">
      <c r="C144" s="39"/>
      <c r="D144" s="35" t="s">
        <v>36</v>
      </c>
      <c r="E144" s="35">
        <v>0.32</v>
      </c>
      <c r="F144" s="35">
        <v>24.711680000000001</v>
      </c>
      <c r="G144" s="36">
        <v>10.23</v>
      </c>
    </row>
    <row r="145" spans="3:7" x14ac:dyDescent="0.3">
      <c r="C145" s="39"/>
      <c r="D145" s="37" t="s">
        <v>65</v>
      </c>
      <c r="E145" s="37">
        <v>1.27</v>
      </c>
      <c r="F145" s="37">
        <v>72</v>
      </c>
      <c r="G145" s="38">
        <v>7.56</v>
      </c>
    </row>
    <row r="146" spans="3:7" x14ac:dyDescent="0.3">
      <c r="C146" s="39"/>
      <c r="D146" s="35" t="s">
        <v>66</v>
      </c>
      <c r="E146" s="35">
        <v>0.49</v>
      </c>
      <c r="F146" s="35">
        <v>18.55</v>
      </c>
      <c r="G146" s="36">
        <v>5</v>
      </c>
    </row>
    <row r="147" spans="3:7" x14ac:dyDescent="0.3">
      <c r="C147" s="39"/>
      <c r="D147" s="35" t="s">
        <v>37</v>
      </c>
      <c r="E147" s="35">
        <v>0.57999999999999996</v>
      </c>
      <c r="F147" s="35">
        <v>47.915999999999997</v>
      </c>
      <c r="G147" s="36">
        <v>11.04</v>
      </c>
    </row>
    <row r="148" spans="3:7" x14ac:dyDescent="0.3">
      <c r="C148" s="39"/>
      <c r="D148" s="35" t="s">
        <v>73</v>
      </c>
      <c r="E148" s="35">
        <v>0.06</v>
      </c>
      <c r="F148" s="35">
        <v>2.492</v>
      </c>
      <c r="G148" s="36">
        <v>6</v>
      </c>
    </row>
    <row r="149" spans="3:7" x14ac:dyDescent="0.3">
      <c r="C149" s="39"/>
      <c r="D149" s="35" t="s">
        <v>75</v>
      </c>
      <c r="E149" s="35">
        <v>0.03</v>
      </c>
      <c r="F149" s="35">
        <v>3.7029999999999998</v>
      </c>
      <c r="G149" s="36">
        <v>14.22</v>
      </c>
    </row>
    <row r="150" spans="3:7" x14ac:dyDescent="0.3">
      <c r="C150" s="39"/>
      <c r="D150" s="35" t="s">
        <v>76</v>
      </c>
      <c r="E150" s="35">
        <v>0.13</v>
      </c>
      <c r="F150" s="35">
        <v>1.228</v>
      </c>
      <c r="G150" s="36">
        <v>1.28</v>
      </c>
    </row>
    <row r="151" spans="3:7" x14ac:dyDescent="0.3">
      <c r="C151" s="39"/>
      <c r="D151" s="35" t="s">
        <v>77</v>
      </c>
      <c r="E151" s="35">
        <v>0.05</v>
      </c>
      <c r="F151" s="35">
        <v>1.2370000000000001</v>
      </c>
      <c r="G151" s="36">
        <v>3.19</v>
      </c>
    </row>
    <row r="152" spans="3:7" x14ac:dyDescent="0.3">
      <c r="C152" s="39"/>
      <c r="D152" s="35" t="s">
        <v>31</v>
      </c>
      <c r="E152" s="35">
        <v>0.01</v>
      </c>
      <c r="F152" s="35">
        <v>1.845</v>
      </c>
      <c r="G152" s="36">
        <v>27.68</v>
      </c>
    </row>
    <row r="153" spans="3:7" x14ac:dyDescent="0.3">
      <c r="C153" s="39"/>
      <c r="D153" s="35" t="s">
        <v>78</v>
      </c>
      <c r="E153" s="35">
        <v>0.03</v>
      </c>
      <c r="F153" s="35">
        <v>2.4790000000000001</v>
      </c>
      <c r="G153" s="36">
        <v>12.78</v>
      </c>
    </row>
    <row r="154" spans="3:7" x14ac:dyDescent="0.3">
      <c r="C154" s="39"/>
      <c r="D154" s="35" t="s">
        <v>79</v>
      </c>
      <c r="E154" s="35">
        <v>0</v>
      </c>
      <c r="F154" s="35">
        <v>1.252</v>
      </c>
      <c r="G154" s="36">
        <v>69.94</v>
      </c>
    </row>
    <row r="155" spans="3:7" x14ac:dyDescent="0.3">
      <c r="C155" s="39"/>
      <c r="D155" s="35" t="s">
        <v>80</v>
      </c>
      <c r="E155" s="35">
        <v>0.01</v>
      </c>
      <c r="F155" s="35">
        <v>1.2370000000000001</v>
      </c>
      <c r="G155" s="36">
        <v>11.59</v>
      </c>
    </row>
    <row r="156" spans="3:7" x14ac:dyDescent="0.3">
      <c r="C156" s="39"/>
      <c r="D156" s="35" t="s">
        <v>52</v>
      </c>
      <c r="E156" s="35">
        <v>0.04</v>
      </c>
      <c r="F156" s="35">
        <v>1.2410000000000001</v>
      </c>
      <c r="G156" s="36">
        <v>3.9</v>
      </c>
    </row>
    <row r="157" spans="3:7" x14ac:dyDescent="0.3">
      <c r="C157" s="39"/>
      <c r="D157" s="35" t="s">
        <v>81</v>
      </c>
      <c r="E157" s="35">
        <v>0.08</v>
      </c>
      <c r="F157" s="35">
        <v>1.857</v>
      </c>
      <c r="G157" s="36">
        <v>3.11</v>
      </c>
    </row>
    <row r="158" spans="3:7" x14ac:dyDescent="0.3">
      <c r="C158" s="39"/>
      <c r="D158" s="35" t="s">
        <v>82</v>
      </c>
      <c r="E158" s="35">
        <v>7.0000000000000007E-2</v>
      </c>
      <c r="F158" s="35">
        <v>2.4420000000000002</v>
      </c>
      <c r="G158" s="36">
        <v>4.37</v>
      </c>
    </row>
    <row r="159" spans="3:7" x14ac:dyDescent="0.3">
      <c r="C159" s="39"/>
      <c r="D159" s="35" t="s">
        <v>83</v>
      </c>
      <c r="E159" s="35">
        <v>0.08</v>
      </c>
      <c r="F159" s="35">
        <v>3.7109999999999999</v>
      </c>
      <c r="G159" s="36">
        <v>6.28</v>
      </c>
    </row>
    <row r="160" spans="3:7" x14ac:dyDescent="0.3">
      <c r="C160" s="39"/>
      <c r="D160" s="35" t="s">
        <v>53</v>
      </c>
      <c r="E160" s="35">
        <v>0.08</v>
      </c>
      <c r="F160" s="35">
        <v>2.5289999999999999</v>
      </c>
      <c r="G160" s="36">
        <v>4.4400000000000004</v>
      </c>
    </row>
    <row r="161" spans="3:7" x14ac:dyDescent="0.3">
      <c r="C161" s="39"/>
      <c r="D161" s="35" t="s">
        <v>54</v>
      </c>
      <c r="E161" s="35">
        <v>0.03</v>
      </c>
      <c r="F161" s="35">
        <v>1.393</v>
      </c>
      <c r="G161" s="36">
        <v>6.38</v>
      </c>
    </row>
    <row r="162" spans="3:7" x14ac:dyDescent="0.3">
      <c r="C162" s="39"/>
      <c r="D162" s="40" t="s">
        <v>55</v>
      </c>
      <c r="E162" s="40">
        <v>0.02</v>
      </c>
      <c r="F162" s="40">
        <v>0.62</v>
      </c>
      <c r="G162" s="41">
        <v>3.94</v>
      </c>
    </row>
    <row r="163" spans="3:7" x14ac:dyDescent="0.3">
      <c r="C163" s="39"/>
      <c r="D163" s="40" t="s">
        <v>56</v>
      </c>
      <c r="E163" s="40">
        <v>0.02</v>
      </c>
      <c r="F163" s="40">
        <v>0.62</v>
      </c>
      <c r="G163" s="41">
        <v>4.5599999999999996</v>
      </c>
    </row>
    <row r="164" spans="3:7" x14ac:dyDescent="0.3">
      <c r="C164" s="42"/>
      <c r="D164" s="43" t="s">
        <v>57</v>
      </c>
      <c r="E164" s="43">
        <v>0.02</v>
      </c>
      <c r="F164" s="43">
        <v>2.4529999999999998</v>
      </c>
      <c r="G164" s="44">
        <v>14.57</v>
      </c>
    </row>
    <row r="168" spans="3:7" x14ac:dyDescent="0.3">
      <c r="C168" s="31" t="s">
        <v>104</v>
      </c>
      <c r="D168" s="32" t="s">
        <v>24</v>
      </c>
      <c r="E168" s="32" t="s">
        <v>10</v>
      </c>
      <c r="F168" s="32" t="s">
        <v>11</v>
      </c>
      <c r="G168" s="33" t="s">
        <v>25</v>
      </c>
    </row>
    <row r="169" spans="3:7" x14ac:dyDescent="0.3">
      <c r="C169" s="34" t="s">
        <v>105</v>
      </c>
      <c r="D169" s="35" t="s">
        <v>106</v>
      </c>
      <c r="E169" s="35">
        <v>0.18</v>
      </c>
      <c r="F169" s="35">
        <v>11</v>
      </c>
      <c r="G169" s="36">
        <v>7.98</v>
      </c>
    </row>
    <row r="170" spans="3:7" x14ac:dyDescent="0.3">
      <c r="C170" s="34" t="s">
        <v>107</v>
      </c>
      <c r="D170" s="35" t="s">
        <v>108</v>
      </c>
      <c r="E170" s="35">
        <v>0.1</v>
      </c>
      <c r="F170" s="35">
        <v>20</v>
      </c>
      <c r="G170" s="36">
        <v>27.59</v>
      </c>
    </row>
    <row r="171" spans="3:7" x14ac:dyDescent="0.3">
      <c r="C171" s="34" t="s">
        <v>30</v>
      </c>
      <c r="D171" s="35" t="s">
        <v>62</v>
      </c>
      <c r="E171" s="35">
        <v>0.47</v>
      </c>
      <c r="F171" s="35">
        <v>30</v>
      </c>
      <c r="G171" s="36">
        <v>8.5399999999999991</v>
      </c>
    </row>
    <row r="172" spans="3:7" x14ac:dyDescent="0.3">
      <c r="C172" s="39"/>
      <c r="D172" s="35" t="s">
        <v>45</v>
      </c>
      <c r="E172" s="35">
        <v>0.22</v>
      </c>
      <c r="F172" s="35">
        <v>10</v>
      </c>
      <c r="G172" s="36">
        <v>6.16</v>
      </c>
    </row>
    <row r="173" spans="3:7" x14ac:dyDescent="0.3">
      <c r="C173" s="39"/>
      <c r="D173" s="35" t="s">
        <v>109</v>
      </c>
      <c r="E173" s="35">
        <v>0.25</v>
      </c>
      <c r="F173" s="35">
        <v>12.1</v>
      </c>
      <c r="G173" s="36">
        <v>6.55</v>
      </c>
    </row>
    <row r="174" spans="3:7" x14ac:dyDescent="0.3">
      <c r="C174" s="39"/>
      <c r="D174" s="35" t="s">
        <v>49</v>
      </c>
      <c r="E174" s="35">
        <v>0.11</v>
      </c>
      <c r="F174" s="35">
        <v>4.7</v>
      </c>
      <c r="G174" s="36">
        <v>5.59</v>
      </c>
    </row>
    <row r="175" spans="3:7" x14ac:dyDescent="0.3">
      <c r="C175" s="39"/>
      <c r="D175" s="35" t="s">
        <v>50</v>
      </c>
      <c r="E175" s="35">
        <v>0.11</v>
      </c>
      <c r="F175" s="35">
        <v>3.5</v>
      </c>
      <c r="G175" s="36">
        <v>4.1500000000000004</v>
      </c>
    </row>
    <row r="176" spans="3:7" x14ac:dyDescent="0.3">
      <c r="C176" s="39"/>
      <c r="D176" s="35" t="s">
        <v>51</v>
      </c>
      <c r="E176" s="35">
        <v>0.27</v>
      </c>
      <c r="F176" s="35">
        <v>13.2</v>
      </c>
      <c r="G176" s="36">
        <v>6.47</v>
      </c>
    </row>
    <row r="177" spans="3:7" x14ac:dyDescent="0.3">
      <c r="C177" s="39"/>
      <c r="D177" s="37" t="s">
        <v>37</v>
      </c>
      <c r="E177" s="37">
        <v>1.74</v>
      </c>
      <c r="F177" s="37">
        <v>143.74799999999999</v>
      </c>
      <c r="G177" s="38">
        <v>11.04</v>
      </c>
    </row>
    <row r="178" spans="3:7" x14ac:dyDescent="0.3">
      <c r="C178" s="39"/>
      <c r="D178" s="35" t="s">
        <v>73</v>
      </c>
      <c r="E178" s="35">
        <v>0.06</v>
      </c>
      <c r="F178" s="35">
        <v>2.4950000000000001</v>
      </c>
      <c r="G178" s="36">
        <v>6</v>
      </c>
    </row>
    <row r="179" spans="3:7" x14ac:dyDescent="0.3">
      <c r="C179" s="39"/>
      <c r="D179" s="35" t="s">
        <v>75</v>
      </c>
      <c r="E179" s="35">
        <v>0.03</v>
      </c>
      <c r="F179" s="35">
        <v>3.7029999999999998</v>
      </c>
      <c r="G179" s="36">
        <v>14.22</v>
      </c>
    </row>
    <row r="180" spans="3:7" x14ac:dyDescent="0.3">
      <c r="C180" s="39"/>
      <c r="D180" s="35" t="s">
        <v>76</v>
      </c>
      <c r="E180" s="35">
        <v>0.13</v>
      </c>
      <c r="F180" s="35">
        <v>1.228</v>
      </c>
      <c r="G180" s="36">
        <v>1.28</v>
      </c>
    </row>
    <row r="181" spans="3:7" x14ac:dyDescent="0.3">
      <c r="C181" s="39"/>
      <c r="D181" s="35" t="s">
        <v>77</v>
      </c>
      <c r="E181" s="35">
        <v>0.05</v>
      </c>
      <c r="F181" s="35">
        <v>1.238</v>
      </c>
      <c r="G181" s="36">
        <v>3.19</v>
      </c>
    </row>
    <row r="182" spans="3:7" x14ac:dyDescent="0.3">
      <c r="C182" s="39"/>
      <c r="D182" s="35" t="s">
        <v>31</v>
      </c>
      <c r="E182" s="35">
        <v>0.01</v>
      </c>
      <c r="F182" s="35">
        <v>1.8480000000000001</v>
      </c>
      <c r="G182" s="36">
        <v>27.68</v>
      </c>
    </row>
    <row r="183" spans="3:7" x14ac:dyDescent="0.3">
      <c r="C183" s="39"/>
      <c r="D183" s="35" t="s">
        <v>78</v>
      </c>
      <c r="E183" s="35">
        <v>0.03</v>
      </c>
      <c r="F183" s="35">
        <v>2.4790000000000001</v>
      </c>
      <c r="G183" s="36">
        <v>12.78</v>
      </c>
    </row>
    <row r="184" spans="3:7" x14ac:dyDescent="0.3">
      <c r="C184" s="39"/>
      <c r="D184" s="35" t="s">
        <v>79</v>
      </c>
      <c r="E184" s="35">
        <v>0</v>
      </c>
      <c r="F184" s="35">
        <v>1.2549999999999999</v>
      </c>
      <c r="G184" s="36">
        <v>69.94</v>
      </c>
    </row>
    <row r="185" spans="3:7" x14ac:dyDescent="0.3">
      <c r="C185" s="39"/>
      <c r="D185" s="35" t="s">
        <v>80</v>
      </c>
      <c r="E185" s="35">
        <v>0.01</v>
      </c>
      <c r="F185" s="35">
        <v>1.2370000000000001</v>
      </c>
      <c r="G185" s="36">
        <v>11.59</v>
      </c>
    </row>
    <row r="186" spans="3:7" x14ac:dyDescent="0.3">
      <c r="C186" s="39"/>
      <c r="D186" s="35" t="s">
        <v>52</v>
      </c>
      <c r="E186" s="35">
        <v>0.04</v>
      </c>
      <c r="F186" s="35">
        <v>1.2430000000000001</v>
      </c>
      <c r="G186" s="36">
        <v>3.9</v>
      </c>
    </row>
    <row r="187" spans="3:7" x14ac:dyDescent="0.3">
      <c r="C187" s="39"/>
      <c r="D187" s="35" t="s">
        <v>81</v>
      </c>
      <c r="E187" s="35">
        <v>0.08</v>
      </c>
      <c r="F187" s="35">
        <v>1.859</v>
      </c>
      <c r="G187" s="36">
        <v>3.11</v>
      </c>
    </row>
    <row r="188" spans="3:7" x14ac:dyDescent="0.3">
      <c r="C188" s="39"/>
      <c r="D188" s="35" t="s">
        <v>82</v>
      </c>
      <c r="E188" s="35">
        <v>7.0000000000000007E-2</v>
      </c>
      <c r="F188" s="35">
        <v>2.4420000000000002</v>
      </c>
      <c r="G188" s="36">
        <v>4.37</v>
      </c>
    </row>
    <row r="189" spans="3:7" x14ac:dyDescent="0.3">
      <c r="C189" s="39"/>
      <c r="D189" s="35" t="s">
        <v>83</v>
      </c>
      <c r="E189" s="35">
        <v>0.08</v>
      </c>
      <c r="F189" s="35">
        <v>3.7120000000000002</v>
      </c>
      <c r="G189" s="36">
        <v>6.28</v>
      </c>
    </row>
    <row r="190" spans="3:7" x14ac:dyDescent="0.3">
      <c r="C190" s="39"/>
      <c r="D190" s="35" t="s">
        <v>53</v>
      </c>
      <c r="E190" s="35">
        <v>0.08</v>
      </c>
      <c r="F190" s="35">
        <v>2.5310000000000001</v>
      </c>
      <c r="G190" s="36">
        <v>4.4400000000000004</v>
      </c>
    </row>
    <row r="191" spans="3:7" x14ac:dyDescent="0.3">
      <c r="C191" s="39"/>
      <c r="D191" s="35" t="s">
        <v>54</v>
      </c>
      <c r="E191" s="35">
        <v>0.03</v>
      </c>
      <c r="F191" s="35">
        <v>1.393</v>
      </c>
      <c r="G191" s="36">
        <v>6.38</v>
      </c>
    </row>
    <row r="192" spans="3:7" x14ac:dyDescent="0.3">
      <c r="C192" s="39"/>
      <c r="D192" s="40" t="s">
        <v>55</v>
      </c>
      <c r="E192" s="40">
        <v>0.02</v>
      </c>
      <c r="F192" s="40">
        <v>0.62</v>
      </c>
      <c r="G192" s="41">
        <v>3.94</v>
      </c>
    </row>
    <row r="193" spans="3:7" x14ac:dyDescent="0.3">
      <c r="C193" s="39"/>
      <c r="D193" s="40" t="s">
        <v>56</v>
      </c>
      <c r="E193" s="40">
        <v>0.02</v>
      </c>
      <c r="F193" s="40">
        <v>0.62</v>
      </c>
      <c r="G193" s="41">
        <v>4.5599999999999996</v>
      </c>
    </row>
    <row r="194" spans="3:7" x14ac:dyDescent="0.3">
      <c r="C194" s="42"/>
      <c r="D194" s="43" t="s">
        <v>57</v>
      </c>
      <c r="E194" s="43">
        <v>0.02</v>
      </c>
      <c r="F194" s="43">
        <v>2.4529999999999998</v>
      </c>
      <c r="G194" s="44">
        <v>14.57</v>
      </c>
    </row>
    <row r="198" spans="3:7" x14ac:dyDescent="0.3">
      <c r="C198" s="31" t="s">
        <v>110</v>
      </c>
      <c r="D198" s="32" t="s">
        <v>24</v>
      </c>
      <c r="E198" s="32" t="s">
        <v>10</v>
      </c>
      <c r="F198" s="32" t="s">
        <v>11</v>
      </c>
      <c r="G198" s="33" t="s">
        <v>25</v>
      </c>
    </row>
    <row r="199" spans="3:7" x14ac:dyDescent="0.3">
      <c r="C199" s="34" t="s">
        <v>111</v>
      </c>
      <c r="D199" s="35" t="s">
        <v>112</v>
      </c>
      <c r="E199" s="35">
        <v>0.05</v>
      </c>
      <c r="F199" s="35">
        <v>2.5</v>
      </c>
      <c r="G199" s="36">
        <v>6.2</v>
      </c>
    </row>
    <row r="200" spans="3:7" x14ac:dyDescent="0.3">
      <c r="C200" s="34" t="s">
        <v>113</v>
      </c>
      <c r="D200" s="35" t="s">
        <v>96</v>
      </c>
      <c r="E200" s="35">
        <v>0.02</v>
      </c>
      <c r="F200" s="35">
        <v>2.5</v>
      </c>
      <c r="G200" s="36">
        <v>19.309999999999999</v>
      </c>
    </row>
    <row r="201" spans="3:7" x14ac:dyDescent="0.3">
      <c r="C201" s="34" t="s">
        <v>30</v>
      </c>
      <c r="D201" s="35" t="s">
        <v>96</v>
      </c>
      <c r="E201" s="35">
        <v>0.02</v>
      </c>
      <c r="F201" s="35">
        <v>2.4449999999999998</v>
      </c>
      <c r="G201" s="36">
        <v>19.309999999999999</v>
      </c>
    </row>
    <row r="202" spans="3:7" x14ac:dyDescent="0.3">
      <c r="C202" s="39"/>
      <c r="D202" s="35" t="s">
        <v>97</v>
      </c>
      <c r="E202" s="35">
        <v>0.02</v>
      </c>
      <c r="F202" s="35">
        <v>2.5</v>
      </c>
      <c r="G202" s="36">
        <v>19.309999999999999</v>
      </c>
    </row>
    <row r="203" spans="3:7" x14ac:dyDescent="0.3">
      <c r="C203" s="39"/>
      <c r="D203" s="35" t="s">
        <v>97</v>
      </c>
      <c r="E203" s="35">
        <v>0.02</v>
      </c>
      <c r="F203" s="35">
        <v>2.5</v>
      </c>
      <c r="G203" s="36">
        <v>19.309999999999999</v>
      </c>
    </row>
    <row r="204" spans="3:7" x14ac:dyDescent="0.3">
      <c r="C204" s="39"/>
      <c r="D204" s="35" t="s">
        <v>97</v>
      </c>
      <c r="E204" s="35">
        <v>0.02</v>
      </c>
      <c r="F204" s="35">
        <v>2.5</v>
      </c>
      <c r="G204" s="36">
        <v>19.309999999999999</v>
      </c>
    </row>
    <row r="205" spans="3:7" x14ac:dyDescent="0.3">
      <c r="C205" s="39"/>
      <c r="D205" s="35" t="s">
        <v>97</v>
      </c>
      <c r="E205" s="35">
        <v>0.02</v>
      </c>
      <c r="F205" s="35">
        <v>2.5</v>
      </c>
      <c r="G205" s="36">
        <v>19.309999999999999</v>
      </c>
    </row>
    <row r="206" spans="3:7" x14ac:dyDescent="0.3">
      <c r="C206" s="39"/>
      <c r="D206" s="35" t="s">
        <v>99</v>
      </c>
      <c r="E206" s="35">
        <v>0.01</v>
      </c>
      <c r="F206" s="35">
        <v>2.5</v>
      </c>
      <c r="G206" s="36">
        <v>29.4</v>
      </c>
    </row>
    <row r="207" spans="3:7" x14ac:dyDescent="0.3">
      <c r="C207" s="39"/>
      <c r="D207" s="35" t="s">
        <v>99</v>
      </c>
      <c r="E207" s="35">
        <v>0.01</v>
      </c>
      <c r="F207" s="35">
        <v>2.5</v>
      </c>
      <c r="G207" s="36">
        <v>29.4</v>
      </c>
    </row>
    <row r="208" spans="3:7" x14ac:dyDescent="0.3">
      <c r="C208" s="39"/>
      <c r="D208" s="35" t="s">
        <v>99</v>
      </c>
      <c r="E208" s="35">
        <v>0.01</v>
      </c>
      <c r="F208" s="35">
        <v>2.5</v>
      </c>
      <c r="G208" s="36">
        <v>29.4</v>
      </c>
    </row>
    <row r="209" spans="3:7" x14ac:dyDescent="0.3">
      <c r="C209" s="39"/>
      <c r="D209" s="35" t="s">
        <v>98</v>
      </c>
      <c r="E209" s="35">
        <v>0.02</v>
      </c>
      <c r="F209" s="35">
        <v>2.5</v>
      </c>
      <c r="G209" s="36">
        <v>21.79</v>
      </c>
    </row>
    <row r="210" spans="3:7" x14ac:dyDescent="0.3">
      <c r="C210" s="39"/>
      <c r="D210" s="35" t="s">
        <v>98</v>
      </c>
      <c r="E210" s="35">
        <v>0.02</v>
      </c>
      <c r="F210" s="35">
        <v>2.5</v>
      </c>
      <c r="G210" s="36">
        <v>21.79</v>
      </c>
    </row>
    <row r="211" spans="3:7" x14ac:dyDescent="0.3">
      <c r="C211" s="39"/>
      <c r="D211" s="35" t="s">
        <v>98</v>
      </c>
      <c r="E211" s="35">
        <v>0.02</v>
      </c>
      <c r="F211" s="35">
        <v>2.5</v>
      </c>
      <c r="G211" s="36">
        <v>21.79</v>
      </c>
    </row>
    <row r="212" spans="3:7" x14ac:dyDescent="0.3">
      <c r="C212" s="39"/>
      <c r="D212" s="35" t="s">
        <v>98</v>
      </c>
      <c r="E212" s="35">
        <v>0.02</v>
      </c>
      <c r="F212" s="35">
        <v>2.5</v>
      </c>
      <c r="G212" s="36">
        <v>21.79</v>
      </c>
    </row>
    <row r="213" spans="3:7" x14ac:dyDescent="0.3">
      <c r="C213" s="39"/>
      <c r="D213" s="35" t="s">
        <v>98</v>
      </c>
      <c r="E213" s="35">
        <v>0.02</v>
      </c>
      <c r="F213" s="35">
        <v>2.5</v>
      </c>
      <c r="G213" s="36">
        <v>21.79</v>
      </c>
    </row>
    <row r="214" spans="3:7" x14ac:dyDescent="0.3">
      <c r="C214" s="39"/>
      <c r="D214" s="35" t="s">
        <v>44</v>
      </c>
      <c r="E214" s="35">
        <v>0.15</v>
      </c>
      <c r="F214" s="35">
        <v>3.5</v>
      </c>
      <c r="G214" s="36">
        <v>3.09</v>
      </c>
    </row>
    <row r="215" spans="3:7" x14ac:dyDescent="0.3">
      <c r="C215" s="39"/>
      <c r="D215" s="35" t="s">
        <v>45</v>
      </c>
      <c r="E215" s="35">
        <v>0.04</v>
      </c>
      <c r="F215" s="35">
        <v>2</v>
      </c>
      <c r="G215" s="36">
        <v>6.16</v>
      </c>
    </row>
    <row r="216" spans="3:7" x14ac:dyDescent="0.3">
      <c r="C216" s="39"/>
      <c r="D216" s="35" t="s">
        <v>63</v>
      </c>
      <c r="E216" s="35">
        <v>0.02</v>
      </c>
      <c r="F216" s="35">
        <v>1.08</v>
      </c>
      <c r="G216" s="36">
        <v>7.71</v>
      </c>
    </row>
    <row r="217" spans="3:7" x14ac:dyDescent="0.3">
      <c r="C217" s="39"/>
      <c r="D217" s="35" t="s">
        <v>114</v>
      </c>
      <c r="E217" s="35">
        <v>0.17</v>
      </c>
      <c r="F217" s="35">
        <v>8</v>
      </c>
      <c r="G217" s="36">
        <v>6.13</v>
      </c>
    </row>
    <row r="218" spans="3:7" x14ac:dyDescent="0.3">
      <c r="C218" s="39"/>
      <c r="D218" s="35" t="s">
        <v>46</v>
      </c>
      <c r="E218" s="35">
        <v>0.05</v>
      </c>
      <c r="F218" s="35">
        <v>2.2000000000000002</v>
      </c>
      <c r="G218" s="36">
        <v>5.47</v>
      </c>
    </row>
    <row r="219" spans="3:7" x14ac:dyDescent="0.3">
      <c r="C219" s="39"/>
      <c r="D219" s="35" t="s">
        <v>47</v>
      </c>
      <c r="E219" s="35">
        <v>0.16</v>
      </c>
      <c r="F219" s="35">
        <v>10</v>
      </c>
      <c r="G219" s="36">
        <v>8.2799999999999994</v>
      </c>
    </row>
    <row r="220" spans="3:7" x14ac:dyDescent="0.3">
      <c r="C220" s="39"/>
      <c r="D220" s="35" t="s">
        <v>70</v>
      </c>
      <c r="E220" s="35">
        <v>7.0000000000000007E-2</v>
      </c>
      <c r="F220" s="35">
        <v>3.6379999999999999</v>
      </c>
      <c r="G220" s="36">
        <v>7.21</v>
      </c>
    </row>
    <row r="221" spans="3:7" x14ac:dyDescent="0.3">
      <c r="C221" s="39"/>
      <c r="D221" s="35" t="s">
        <v>109</v>
      </c>
      <c r="E221" s="35">
        <v>0.05</v>
      </c>
      <c r="F221" s="35">
        <v>2.42</v>
      </c>
      <c r="G221" s="36">
        <v>6.55</v>
      </c>
    </row>
    <row r="222" spans="3:7" x14ac:dyDescent="0.3">
      <c r="C222" s="39"/>
      <c r="D222" s="35" t="s">
        <v>64</v>
      </c>
      <c r="E222" s="35">
        <v>0.02</v>
      </c>
      <c r="F222" s="35">
        <v>0.81599999999999995</v>
      </c>
      <c r="G222" s="36">
        <v>4.4000000000000004</v>
      </c>
    </row>
    <row r="223" spans="3:7" x14ac:dyDescent="0.3">
      <c r="C223" s="39"/>
      <c r="D223" s="35" t="s">
        <v>35</v>
      </c>
      <c r="E223" s="35">
        <v>0.04</v>
      </c>
      <c r="F223" s="35">
        <v>2.0771999999999999</v>
      </c>
      <c r="G223" s="36">
        <v>6.79</v>
      </c>
    </row>
    <row r="224" spans="3:7" x14ac:dyDescent="0.3">
      <c r="C224" s="39"/>
      <c r="D224" s="35" t="s">
        <v>36</v>
      </c>
      <c r="E224" s="35">
        <v>0.32</v>
      </c>
      <c r="F224" s="35">
        <v>24.711680000000001</v>
      </c>
      <c r="G224" s="36">
        <v>10.23</v>
      </c>
    </row>
    <row r="225" spans="3:7" x14ac:dyDescent="0.3">
      <c r="C225" s="39"/>
      <c r="D225" s="35" t="s">
        <v>71</v>
      </c>
      <c r="E225" s="35">
        <v>0.43</v>
      </c>
      <c r="F225" s="35">
        <v>8.0839999999999996</v>
      </c>
      <c r="G225" s="36">
        <v>2.5</v>
      </c>
    </row>
    <row r="226" spans="3:7" x14ac:dyDescent="0.3">
      <c r="C226" s="39"/>
      <c r="D226" s="40" t="s">
        <v>48</v>
      </c>
      <c r="E226" s="40">
        <v>0.02</v>
      </c>
      <c r="F226" s="40">
        <v>0.28000000000000003</v>
      </c>
      <c r="G226" s="41">
        <v>2.0499999999999998</v>
      </c>
    </row>
    <row r="227" spans="3:7" x14ac:dyDescent="0.3">
      <c r="C227" s="39"/>
      <c r="D227" s="35" t="s">
        <v>51</v>
      </c>
      <c r="E227" s="35">
        <v>0.27</v>
      </c>
      <c r="F227" s="35">
        <v>13.2</v>
      </c>
      <c r="G227" s="36">
        <v>6.47</v>
      </c>
    </row>
    <row r="228" spans="3:7" x14ac:dyDescent="0.3">
      <c r="C228" s="39"/>
      <c r="D228" s="37" t="s">
        <v>65</v>
      </c>
      <c r="E228" s="37">
        <v>1.27</v>
      </c>
      <c r="F228" s="37">
        <v>72</v>
      </c>
      <c r="G228" s="38">
        <v>7.56</v>
      </c>
    </row>
    <row r="229" spans="3:7" x14ac:dyDescent="0.3">
      <c r="C229" s="39"/>
      <c r="D229" s="35" t="s">
        <v>37</v>
      </c>
      <c r="E229" s="35">
        <v>0.28999999999999998</v>
      </c>
      <c r="F229" s="35">
        <v>23.957999999999998</v>
      </c>
      <c r="G229" s="36">
        <v>11.04</v>
      </c>
    </row>
    <row r="230" spans="3:7" x14ac:dyDescent="0.3">
      <c r="C230" s="39"/>
      <c r="D230" s="35" t="s">
        <v>73</v>
      </c>
      <c r="E230" s="35">
        <v>0.02</v>
      </c>
      <c r="F230" s="35">
        <v>0.997</v>
      </c>
      <c r="G230" s="36">
        <v>6</v>
      </c>
    </row>
    <row r="231" spans="3:7" x14ac:dyDescent="0.3">
      <c r="C231" s="39"/>
      <c r="D231" s="35" t="s">
        <v>74</v>
      </c>
      <c r="E231" s="35">
        <v>0.52</v>
      </c>
      <c r="F231" s="35">
        <v>25</v>
      </c>
      <c r="G231" s="36">
        <v>6.43</v>
      </c>
    </row>
    <row r="232" spans="3:7" x14ac:dyDescent="0.3">
      <c r="C232" s="39"/>
      <c r="D232" s="35" t="s">
        <v>76</v>
      </c>
      <c r="E232" s="35">
        <v>0.05</v>
      </c>
      <c r="F232" s="35">
        <v>0.49099999999999999</v>
      </c>
      <c r="G232" s="36">
        <v>1.28</v>
      </c>
    </row>
    <row r="233" spans="3:7" x14ac:dyDescent="0.3">
      <c r="C233" s="39"/>
      <c r="D233" s="35" t="s">
        <v>31</v>
      </c>
      <c r="E233" s="35">
        <v>0.01</v>
      </c>
      <c r="F233" s="35">
        <v>1.476</v>
      </c>
      <c r="G233" s="36">
        <v>27.68</v>
      </c>
    </row>
    <row r="234" spans="3:7" x14ac:dyDescent="0.3">
      <c r="C234" s="39"/>
      <c r="D234" s="35" t="s">
        <v>78</v>
      </c>
      <c r="E234" s="35">
        <v>0.01</v>
      </c>
      <c r="F234" s="35">
        <v>0.99099999999999999</v>
      </c>
      <c r="G234" s="36">
        <v>12.78</v>
      </c>
    </row>
    <row r="235" spans="3:7" x14ac:dyDescent="0.3">
      <c r="C235" s="39"/>
      <c r="D235" s="35" t="s">
        <v>115</v>
      </c>
      <c r="E235" s="35">
        <v>0</v>
      </c>
      <c r="F235" s="35">
        <v>1.008</v>
      </c>
      <c r="G235" s="36">
        <v>106.63</v>
      </c>
    </row>
    <row r="236" spans="3:7" x14ac:dyDescent="0.3">
      <c r="C236" s="39"/>
      <c r="D236" s="35" t="s">
        <v>79</v>
      </c>
      <c r="E236" s="35">
        <v>0</v>
      </c>
      <c r="F236" s="35">
        <v>1.002</v>
      </c>
      <c r="G236" s="36">
        <v>69.94</v>
      </c>
    </row>
    <row r="237" spans="3:7" x14ac:dyDescent="0.3">
      <c r="C237" s="39"/>
      <c r="D237" s="35" t="s">
        <v>80</v>
      </c>
      <c r="E237" s="35">
        <v>0.01</v>
      </c>
      <c r="F237" s="35">
        <v>0.49399999999999999</v>
      </c>
      <c r="G237" s="36">
        <v>11.59</v>
      </c>
    </row>
    <row r="238" spans="3:7" x14ac:dyDescent="0.3">
      <c r="C238" s="39"/>
      <c r="D238" s="35" t="s">
        <v>52</v>
      </c>
      <c r="E238" s="35">
        <v>0.02</v>
      </c>
      <c r="F238" s="35">
        <v>0.496</v>
      </c>
      <c r="G238" s="36">
        <v>3.9</v>
      </c>
    </row>
    <row r="239" spans="3:7" x14ac:dyDescent="0.3">
      <c r="C239" s="39"/>
      <c r="D239" s="35" t="s">
        <v>82</v>
      </c>
      <c r="E239" s="35">
        <v>0.06</v>
      </c>
      <c r="F239" s="35">
        <v>1.9530000000000001</v>
      </c>
      <c r="G239" s="36">
        <v>4.37</v>
      </c>
    </row>
    <row r="240" spans="3:7" x14ac:dyDescent="0.3">
      <c r="C240" s="39"/>
      <c r="D240" s="35" t="s">
        <v>83</v>
      </c>
      <c r="E240" s="35">
        <v>0.03</v>
      </c>
      <c r="F240" s="35">
        <v>1.484</v>
      </c>
      <c r="G240" s="36">
        <v>6.28</v>
      </c>
    </row>
    <row r="241" spans="3:7" x14ac:dyDescent="0.3">
      <c r="C241" s="39"/>
      <c r="D241" s="35" t="s">
        <v>53</v>
      </c>
      <c r="E241" s="35">
        <v>0.03</v>
      </c>
      <c r="F241" s="35">
        <v>1.0109999999999999</v>
      </c>
      <c r="G241" s="36">
        <v>4.4400000000000004</v>
      </c>
    </row>
    <row r="242" spans="3:7" x14ac:dyDescent="0.3">
      <c r="C242" s="39"/>
      <c r="D242" s="35" t="s">
        <v>84</v>
      </c>
      <c r="E242" s="35">
        <v>0.15</v>
      </c>
      <c r="F242" s="35">
        <v>8</v>
      </c>
      <c r="G242" s="36">
        <v>7.29</v>
      </c>
    </row>
    <row r="243" spans="3:7" x14ac:dyDescent="0.3">
      <c r="C243" s="39"/>
      <c r="D243" s="35" t="s">
        <v>85</v>
      </c>
      <c r="E243" s="35">
        <v>0.16</v>
      </c>
      <c r="F243" s="35">
        <v>2</v>
      </c>
      <c r="G243" s="36">
        <v>1.72</v>
      </c>
    </row>
    <row r="244" spans="3:7" x14ac:dyDescent="0.3">
      <c r="C244" s="39"/>
      <c r="D244" s="35" t="s">
        <v>54</v>
      </c>
      <c r="E244" s="35">
        <v>0.02</v>
      </c>
      <c r="F244" s="35">
        <v>1.1140000000000001</v>
      </c>
      <c r="G244" s="36">
        <v>6.38</v>
      </c>
    </row>
    <row r="245" spans="3:7" x14ac:dyDescent="0.3">
      <c r="C245" s="39"/>
      <c r="D245" s="35" t="s">
        <v>55</v>
      </c>
      <c r="E245" s="35">
        <v>0.03</v>
      </c>
      <c r="F245" s="35">
        <v>0.99199999999999999</v>
      </c>
      <c r="G245" s="36">
        <v>3.94</v>
      </c>
    </row>
    <row r="246" spans="3:7" x14ac:dyDescent="0.3">
      <c r="C246" s="39"/>
      <c r="D246" s="35" t="s">
        <v>56</v>
      </c>
      <c r="E246" s="35">
        <v>0.01</v>
      </c>
      <c r="F246" s="35">
        <v>0.496</v>
      </c>
      <c r="G246" s="36">
        <v>4.5599999999999996</v>
      </c>
    </row>
    <row r="247" spans="3:7" x14ac:dyDescent="0.3">
      <c r="C247" s="39"/>
      <c r="D247" s="35" t="s">
        <v>87</v>
      </c>
      <c r="E247" s="35">
        <v>0.11</v>
      </c>
      <c r="F247" s="35">
        <v>5</v>
      </c>
      <c r="G247" s="36">
        <v>5.96</v>
      </c>
    </row>
    <row r="248" spans="3:7" x14ac:dyDescent="0.3">
      <c r="C248" s="39"/>
      <c r="D248" s="35" t="s">
        <v>88</v>
      </c>
      <c r="E248" s="35">
        <v>0.17</v>
      </c>
      <c r="F248" s="35">
        <v>7.5</v>
      </c>
      <c r="G248" s="36">
        <v>5.79</v>
      </c>
    </row>
    <row r="249" spans="3:7" x14ac:dyDescent="0.3">
      <c r="C249" s="39"/>
      <c r="D249" s="35" t="s">
        <v>89</v>
      </c>
      <c r="E249" s="35">
        <v>0.57999999999999996</v>
      </c>
      <c r="F249" s="35">
        <v>15</v>
      </c>
      <c r="G249" s="36">
        <v>3.46</v>
      </c>
    </row>
    <row r="250" spans="3:7" x14ac:dyDescent="0.3">
      <c r="C250" s="39"/>
      <c r="D250" s="35" t="s">
        <v>90</v>
      </c>
      <c r="E250" s="35">
        <v>0.02</v>
      </c>
      <c r="F250" s="35">
        <v>2.5</v>
      </c>
      <c r="G250" s="36">
        <v>14.57</v>
      </c>
    </row>
    <row r="251" spans="3:7" x14ac:dyDescent="0.3">
      <c r="C251" s="42"/>
      <c r="D251" s="43" t="s">
        <v>57</v>
      </c>
      <c r="E251" s="43">
        <v>0.01</v>
      </c>
      <c r="F251" s="43">
        <v>0.98099999999999998</v>
      </c>
      <c r="G251" s="44">
        <v>14.57</v>
      </c>
    </row>
    <row r="255" spans="3:7" x14ac:dyDescent="0.3">
      <c r="C255" s="31" t="s">
        <v>116</v>
      </c>
      <c r="D255" s="32" t="s">
        <v>24</v>
      </c>
      <c r="E255" s="32" t="s">
        <v>10</v>
      </c>
      <c r="F255" s="32" t="s">
        <v>11</v>
      </c>
      <c r="G255" s="33" t="s">
        <v>25</v>
      </c>
    </row>
    <row r="256" spans="3:7" x14ac:dyDescent="0.3">
      <c r="C256" s="34" t="s">
        <v>117</v>
      </c>
      <c r="D256" s="35" t="s">
        <v>44</v>
      </c>
      <c r="E256" s="35">
        <v>0.04</v>
      </c>
      <c r="F256" s="35">
        <v>1</v>
      </c>
      <c r="G256" s="36">
        <v>3.09</v>
      </c>
    </row>
    <row r="257" spans="3:7" x14ac:dyDescent="0.3">
      <c r="C257" s="34" t="s">
        <v>118</v>
      </c>
      <c r="D257" s="35" t="s">
        <v>62</v>
      </c>
      <c r="E257" s="35">
        <v>0.47</v>
      </c>
      <c r="F257" s="35">
        <v>30</v>
      </c>
      <c r="G257" s="36">
        <v>8.5399999999999991</v>
      </c>
    </row>
    <row r="258" spans="3:7" x14ac:dyDescent="0.3">
      <c r="C258" s="34" t="s">
        <v>30</v>
      </c>
      <c r="D258" s="35" t="s">
        <v>45</v>
      </c>
      <c r="E258" s="35">
        <v>0.04</v>
      </c>
      <c r="F258" s="35">
        <v>2</v>
      </c>
      <c r="G258" s="36">
        <v>6.16</v>
      </c>
    </row>
    <row r="259" spans="3:7" x14ac:dyDescent="0.3">
      <c r="C259" s="39"/>
      <c r="D259" s="35" t="s">
        <v>63</v>
      </c>
      <c r="E259" s="35">
        <v>0.02</v>
      </c>
      <c r="F259" s="35">
        <v>1.08</v>
      </c>
      <c r="G259" s="36">
        <v>7.71</v>
      </c>
    </row>
    <row r="260" spans="3:7" x14ac:dyDescent="0.3">
      <c r="C260" s="39"/>
      <c r="D260" s="35" t="s">
        <v>46</v>
      </c>
      <c r="E260" s="35">
        <v>0.05</v>
      </c>
      <c r="F260" s="35">
        <v>2.2000000000000002</v>
      </c>
      <c r="G260" s="36">
        <v>5.47</v>
      </c>
    </row>
    <row r="261" spans="3:7" x14ac:dyDescent="0.3">
      <c r="C261" s="39"/>
      <c r="D261" s="35" t="s">
        <v>70</v>
      </c>
      <c r="E261" s="35">
        <v>7.0000000000000007E-2</v>
      </c>
      <c r="F261" s="35">
        <v>3.6379999999999999</v>
      </c>
      <c r="G261" s="36">
        <v>7.21</v>
      </c>
    </row>
    <row r="262" spans="3:7" x14ac:dyDescent="0.3">
      <c r="C262" s="39"/>
      <c r="D262" s="35" t="s">
        <v>109</v>
      </c>
      <c r="E262" s="35">
        <v>0.05</v>
      </c>
      <c r="F262" s="35">
        <v>2.42</v>
      </c>
      <c r="G262" s="36">
        <v>6.55</v>
      </c>
    </row>
    <row r="263" spans="3:7" x14ac:dyDescent="0.3">
      <c r="C263" s="39"/>
      <c r="D263" s="35" t="s">
        <v>64</v>
      </c>
      <c r="E263" s="35">
        <v>0.02</v>
      </c>
      <c r="F263" s="35">
        <v>0.81599999999999995</v>
      </c>
      <c r="G263" s="36">
        <v>4.4000000000000004</v>
      </c>
    </row>
    <row r="264" spans="3:7" x14ac:dyDescent="0.3">
      <c r="C264" s="39"/>
      <c r="D264" s="35" t="s">
        <v>35</v>
      </c>
      <c r="E264" s="35">
        <v>0.04</v>
      </c>
      <c r="F264" s="35">
        <v>2.0771999999999999</v>
      </c>
      <c r="G264" s="36">
        <v>6.79</v>
      </c>
    </row>
    <row r="265" spans="3:7" x14ac:dyDescent="0.3">
      <c r="C265" s="39"/>
      <c r="D265" s="40" t="s">
        <v>48</v>
      </c>
      <c r="E265" s="40">
        <v>0.02</v>
      </c>
      <c r="F265" s="40">
        <v>0.28999999999999998</v>
      </c>
      <c r="G265" s="41">
        <v>2.0499999999999998</v>
      </c>
    </row>
    <row r="266" spans="3:7" x14ac:dyDescent="0.3">
      <c r="C266" s="39"/>
      <c r="D266" s="35" t="s">
        <v>66</v>
      </c>
      <c r="E266" s="35">
        <v>0.49</v>
      </c>
      <c r="F266" s="35">
        <v>18.55</v>
      </c>
      <c r="G266" s="36">
        <v>5</v>
      </c>
    </row>
    <row r="267" spans="3:7" x14ac:dyDescent="0.3">
      <c r="C267" s="39"/>
      <c r="D267" s="37" t="s">
        <v>37</v>
      </c>
      <c r="E267" s="37">
        <v>0.57999999999999996</v>
      </c>
      <c r="F267" s="37">
        <v>47.915999999999997</v>
      </c>
      <c r="G267" s="38">
        <v>11.04</v>
      </c>
    </row>
    <row r="268" spans="3:7" x14ac:dyDescent="0.3">
      <c r="C268" s="39"/>
      <c r="D268" s="35" t="s">
        <v>73</v>
      </c>
      <c r="E268" s="35">
        <v>0.02</v>
      </c>
      <c r="F268" s="35">
        <v>0.997</v>
      </c>
      <c r="G268" s="36">
        <v>6</v>
      </c>
    </row>
    <row r="269" spans="3:7" x14ac:dyDescent="0.3">
      <c r="C269" s="39"/>
      <c r="D269" s="35" t="s">
        <v>76</v>
      </c>
      <c r="E269" s="35">
        <v>0.05</v>
      </c>
      <c r="F269" s="35">
        <v>0.49099999999999999</v>
      </c>
      <c r="G269" s="36">
        <v>1.28</v>
      </c>
    </row>
    <row r="270" spans="3:7" x14ac:dyDescent="0.3">
      <c r="C270" s="39"/>
      <c r="D270" s="35" t="s">
        <v>31</v>
      </c>
      <c r="E270" s="35">
        <v>0.01</v>
      </c>
      <c r="F270" s="35">
        <v>1.476</v>
      </c>
      <c r="G270" s="36">
        <v>27.68</v>
      </c>
    </row>
    <row r="271" spans="3:7" x14ac:dyDescent="0.3">
      <c r="C271" s="39"/>
      <c r="D271" s="35" t="s">
        <v>78</v>
      </c>
      <c r="E271" s="35">
        <v>0.01</v>
      </c>
      <c r="F271" s="35">
        <v>0.99099999999999999</v>
      </c>
      <c r="G271" s="36">
        <v>12.78</v>
      </c>
    </row>
    <row r="272" spans="3:7" x14ac:dyDescent="0.3">
      <c r="C272" s="39"/>
      <c r="D272" s="35" t="s">
        <v>115</v>
      </c>
      <c r="E272" s="35">
        <v>0</v>
      </c>
      <c r="F272" s="35">
        <v>1.008</v>
      </c>
      <c r="G272" s="36">
        <v>106.63</v>
      </c>
    </row>
    <row r="273" spans="3:7" x14ac:dyDescent="0.3">
      <c r="C273" s="39"/>
      <c r="D273" s="35" t="s">
        <v>79</v>
      </c>
      <c r="E273" s="35">
        <v>0</v>
      </c>
      <c r="F273" s="35">
        <v>1.002</v>
      </c>
      <c r="G273" s="36">
        <v>69.94</v>
      </c>
    </row>
    <row r="274" spans="3:7" x14ac:dyDescent="0.3">
      <c r="C274" s="39"/>
      <c r="D274" s="35" t="s">
        <v>80</v>
      </c>
      <c r="E274" s="35">
        <v>0.01</v>
      </c>
      <c r="F274" s="35">
        <v>0.49399999999999999</v>
      </c>
      <c r="G274" s="36">
        <v>11.59</v>
      </c>
    </row>
    <row r="275" spans="3:7" x14ac:dyDescent="0.3">
      <c r="C275" s="39"/>
      <c r="D275" s="35" t="s">
        <v>52</v>
      </c>
      <c r="E275" s="35">
        <v>0.02</v>
      </c>
      <c r="F275" s="35">
        <v>0.496</v>
      </c>
      <c r="G275" s="36">
        <v>3.9</v>
      </c>
    </row>
    <row r="276" spans="3:7" x14ac:dyDescent="0.3">
      <c r="C276" s="39"/>
      <c r="D276" s="35" t="s">
        <v>82</v>
      </c>
      <c r="E276" s="35">
        <v>0.06</v>
      </c>
      <c r="F276" s="35">
        <v>1.9530000000000001</v>
      </c>
      <c r="G276" s="36">
        <v>4.37</v>
      </c>
    </row>
    <row r="277" spans="3:7" x14ac:dyDescent="0.3">
      <c r="C277" s="39"/>
      <c r="D277" s="35" t="s">
        <v>83</v>
      </c>
      <c r="E277" s="35">
        <v>0.03</v>
      </c>
      <c r="F277" s="35">
        <v>1.484</v>
      </c>
      <c r="G277" s="36">
        <v>6.28</v>
      </c>
    </row>
    <row r="278" spans="3:7" x14ac:dyDescent="0.3">
      <c r="C278" s="39"/>
      <c r="D278" s="35" t="s">
        <v>53</v>
      </c>
      <c r="E278" s="35">
        <v>0.03</v>
      </c>
      <c r="F278" s="35">
        <v>1.0109999999999999</v>
      </c>
      <c r="G278" s="36">
        <v>4.4400000000000004</v>
      </c>
    </row>
    <row r="279" spans="3:7" x14ac:dyDescent="0.3">
      <c r="C279" s="39"/>
      <c r="D279" s="35" t="s">
        <v>54</v>
      </c>
      <c r="E279" s="35">
        <v>0.02</v>
      </c>
      <c r="F279" s="35">
        <v>1.1140000000000001</v>
      </c>
      <c r="G279" s="36">
        <v>6.38</v>
      </c>
    </row>
    <row r="280" spans="3:7" x14ac:dyDescent="0.3">
      <c r="C280" s="39"/>
      <c r="D280" s="35" t="s">
        <v>55</v>
      </c>
      <c r="E280" s="35">
        <v>0.03</v>
      </c>
      <c r="F280" s="35">
        <v>0.99199999999999999</v>
      </c>
      <c r="G280" s="36">
        <v>3.94</v>
      </c>
    </row>
    <row r="281" spans="3:7" x14ac:dyDescent="0.3">
      <c r="C281" s="39"/>
      <c r="D281" s="35" t="s">
        <v>56</v>
      </c>
      <c r="E281" s="35">
        <v>0.01</v>
      </c>
      <c r="F281" s="35">
        <v>0.496</v>
      </c>
      <c r="G281" s="36">
        <v>4.5599999999999996</v>
      </c>
    </row>
    <row r="282" spans="3:7" x14ac:dyDescent="0.3">
      <c r="C282" s="39"/>
      <c r="D282" s="35" t="s">
        <v>39</v>
      </c>
      <c r="E282" s="35">
        <v>0.23</v>
      </c>
      <c r="F282" s="35">
        <v>6.8768000000000002</v>
      </c>
      <c r="G282" s="36">
        <v>3.99</v>
      </c>
    </row>
    <row r="283" spans="3:7" x14ac:dyDescent="0.3">
      <c r="C283" s="39"/>
      <c r="D283" s="35" t="s">
        <v>91</v>
      </c>
      <c r="E283" s="35">
        <v>0.26</v>
      </c>
      <c r="F283" s="35">
        <v>11.942449999999999</v>
      </c>
      <c r="G283" s="36">
        <v>6.16</v>
      </c>
    </row>
    <row r="284" spans="3:7" x14ac:dyDescent="0.3">
      <c r="C284" s="39"/>
      <c r="D284" s="35" t="s">
        <v>92</v>
      </c>
      <c r="E284" s="35">
        <v>0.15</v>
      </c>
      <c r="F284" s="35">
        <v>5.4081599999999996</v>
      </c>
      <c r="G284" s="36">
        <v>4.8600000000000003</v>
      </c>
    </row>
    <row r="285" spans="3:7" x14ac:dyDescent="0.3">
      <c r="C285" s="39"/>
      <c r="D285" s="35" t="s">
        <v>38</v>
      </c>
      <c r="E285" s="35">
        <v>0.47</v>
      </c>
      <c r="F285" s="35">
        <v>20.217500000000001</v>
      </c>
      <c r="G285" s="36">
        <v>5.71</v>
      </c>
    </row>
    <row r="286" spans="3:7" x14ac:dyDescent="0.3">
      <c r="C286" s="39"/>
      <c r="D286" s="35" t="s">
        <v>57</v>
      </c>
      <c r="E286" s="35">
        <v>0.01</v>
      </c>
      <c r="F286" s="35">
        <v>0.98099999999999998</v>
      </c>
      <c r="G286" s="36">
        <v>14.57</v>
      </c>
    </row>
    <row r="287" spans="3:7" x14ac:dyDescent="0.3">
      <c r="C287" s="42"/>
      <c r="D287" s="43" t="s">
        <v>119</v>
      </c>
      <c r="E287" s="43">
        <v>0.05</v>
      </c>
      <c r="F287" s="43">
        <v>0.66218999999999995</v>
      </c>
      <c r="G287" s="44">
        <v>1.89</v>
      </c>
    </row>
    <row r="291" spans="3:7" x14ac:dyDescent="0.3">
      <c r="C291" s="31" t="s">
        <v>120</v>
      </c>
      <c r="D291" s="32" t="s">
        <v>24</v>
      </c>
      <c r="E291" s="32" t="s">
        <v>10</v>
      </c>
      <c r="F291" s="32" t="s">
        <v>11</v>
      </c>
      <c r="G291" s="33" t="s">
        <v>25</v>
      </c>
    </row>
    <row r="292" spans="3:7" x14ac:dyDescent="0.3">
      <c r="C292" s="34" t="s">
        <v>121</v>
      </c>
      <c r="D292" s="35" t="s">
        <v>112</v>
      </c>
      <c r="E292" s="35">
        <v>0.04</v>
      </c>
      <c r="F292" s="35">
        <v>2.0910000000000002</v>
      </c>
      <c r="G292" s="36">
        <v>6.2</v>
      </c>
    </row>
    <row r="293" spans="3:7" x14ac:dyDescent="0.3">
      <c r="C293" s="34" t="s">
        <v>122</v>
      </c>
      <c r="D293" s="35" t="s">
        <v>44</v>
      </c>
      <c r="E293" s="35">
        <v>0.04</v>
      </c>
      <c r="F293" s="35">
        <v>1</v>
      </c>
      <c r="G293" s="36">
        <v>3.09</v>
      </c>
    </row>
    <row r="294" spans="3:7" x14ac:dyDescent="0.3">
      <c r="C294" s="34" t="s">
        <v>30</v>
      </c>
      <c r="D294" s="35" t="s">
        <v>123</v>
      </c>
      <c r="E294" s="35">
        <v>0.38</v>
      </c>
      <c r="F294" s="35">
        <v>24</v>
      </c>
      <c r="G294" s="36">
        <v>8.43</v>
      </c>
    </row>
    <row r="295" spans="3:7" x14ac:dyDescent="0.3">
      <c r="C295" s="39"/>
      <c r="D295" s="35" t="s">
        <v>62</v>
      </c>
      <c r="E295" s="35">
        <v>0.47</v>
      </c>
      <c r="F295" s="35">
        <v>30</v>
      </c>
      <c r="G295" s="36">
        <v>8.5399999999999991</v>
      </c>
    </row>
    <row r="296" spans="3:7" x14ac:dyDescent="0.3">
      <c r="C296" s="39"/>
      <c r="D296" s="35" t="s">
        <v>45</v>
      </c>
      <c r="E296" s="35">
        <v>0.04</v>
      </c>
      <c r="F296" s="35">
        <v>2</v>
      </c>
      <c r="G296" s="36">
        <v>6.16</v>
      </c>
    </row>
    <row r="297" spans="3:7" x14ac:dyDescent="0.3">
      <c r="C297" s="39"/>
      <c r="D297" s="35" t="s">
        <v>63</v>
      </c>
      <c r="E297" s="35">
        <v>0.02</v>
      </c>
      <c r="F297" s="35">
        <v>1.08</v>
      </c>
      <c r="G297" s="36">
        <v>7.71</v>
      </c>
    </row>
    <row r="298" spans="3:7" x14ac:dyDescent="0.3">
      <c r="C298" s="39"/>
      <c r="D298" s="35" t="s">
        <v>46</v>
      </c>
      <c r="E298" s="35">
        <v>0.05</v>
      </c>
      <c r="F298" s="35">
        <v>2.2000000000000002</v>
      </c>
      <c r="G298" s="36">
        <v>5.47</v>
      </c>
    </row>
    <row r="299" spans="3:7" x14ac:dyDescent="0.3">
      <c r="C299" s="39"/>
      <c r="D299" s="35" t="s">
        <v>70</v>
      </c>
      <c r="E299" s="35">
        <v>7.0000000000000007E-2</v>
      </c>
      <c r="F299" s="35">
        <v>3.6379999999999999</v>
      </c>
      <c r="G299" s="36">
        <v>7.21</v>
      </c>
    </row>
    <row r="300" spans="3:7" x14ac:dyDescent="0.3">
      <c r="C300" s="39"/>
      <c r="D300" s="35" t="s">
        <v>109</v>
      </c>
      <c r="E300" s="35">
        <v>0.05</v>
      </c>
      <c r="F300" s="35">
        <v>2.42</v>
      </c>
      <c r="G300" s="36">
        <v>6.55</v>
      </c>
    </row>
    <row r="301" spans="3:7" x14ac:dyDescent="0.3">
      <c r="C301" s="39"/>
      <c r="D301" s="35" t="s">
        <v>64</v>
      </c>
      <c r="E301" s="35">
        <v>0.02</v>
      </c>
      <c r="F301" s="35">
        <v>0.81599999999999995</v>
      </c>
      <c r="G301" s="36">
        <v>4.4000000000000004</v>
      </c>
    </row>
    <row r="302" spans="3:7" x14ac:dyDescent="0.3">
      <c r="C302" s="39"/>
      <c r="D302" s="35" t="s">
        <v>35</v>
      </c>
      <c r="E302" s="35">
        <v>0.04</v>
      </c>
      <c r="F302" s="35">
        <v>2.0771999999999999</v>
      </c>
      <c r="G302" s="36">
        <v>6.79</v>
      </c>
    </row>
    <row r="303" spans="3:7" x14ac:dyDescent="0.3">
      <c r="C303" s="39"/>
      <c r="D303" s="40" t="s">
        <v>48</v>
      </c>
      <c r="E303" s="40">
        <v>0.02</v>
      </c>
      <c r="F303" s="40">
        <v>0.28999999999999998</v>
      </c>
      <c r="G303" s="41">
        <v>2.0499999999999998</v>
      </c>
    </row>
    <row r="304" spans="3:7" x14ac:dyDescent="0.3">
      <c r="C304" s="39"/>
      <c r="D304" s="37" t="s">
        <v>37</v>
      </c>
      <c r="E304" s="37">
        <v>2.0299999999999998</v>
      </c>
      <c r="F304" s="37">
        <v>167.70599999999999</v>
      </c>
      <c r="G304" s="38">
        <v>11.04</v>
      </c>
    </row>
    <row r="305" spans="3:7" x14ac:dyDescent="0.3">
      <c r="C305" s="39"/>
      <c r="D305" s="35" t="s">
        <v>73</v>
      </c>
      <c r="E305" s="35">
        <v>0.02</v>
      </c>
      <c r="F305" s="35">
        <v>0.997</v>
      </c>
      <c r="G305" s="36">
        <v>6</v>
      </c>
    </row>
    <row r="306" spans="3:7" x14ac:dyDescent="0.3">
      <c r="C306" s="39"/>
      <c r="D306" s="35" t="s">
        <v>76</v>
      </c>
      <c r="E306" s="35">
        <v>0.05</v>
      </c>
      <c r="F306" s="35">
        <v>0.49099999999999999</v>
      </c>
      <c r="G306" s="36">
        <v>1.28</v>
      </c>
    </row>
    <row r="307" spans="3:7" x14ac:dyDescent="0.3">
      <c r="C307" s="39"/>
      <c r="D307" s="35" t="s">
        <v>31</v>
      </c>
      <c r="E307" s="35">
        <v>0.01</v>
      </c>
      <c r="F307" s="35">
        <v>1.476</v>
      </c>
      <c r="G307" s="36">
        <v>27.68</v>
      </c>
    </row>
    <row r="308" spans="3:7" x14ac:dyDescent="0.3">
      <c r="C308" s="39"/>
      <c r="D308" s="35" t="s">
        <v>78</v>
      </c>
      <c r="E308" s="35">
        <v>0.01</v>
      </c>
      <c r="F308" s="35">
        <v>0.99099999999999999</v>
      </c>
      <c r="G308" s="36">
        <v>12.78</v>
      </c>
    </row>
    <row r="309" spans="3:7" x14ac:dyDescent="0.3">
      <c r="C309" s="39"/>
      <c r="D309" s="35" t="s">
        <v>115</v>
      </c>
      <c r="E309" s="35">
        <v>0</v>
      </c>
      <c r="F309" s="35">
        <v>1.008</v>
      </c>
      <c r="G309" s="36">
        <v>106.63</v>
      </c>
    </row>
    <row r="310" spans="3:7" x14ac:dyDescent="0.3">
      <c r="C310" s="39"/>
      <c r="D310" s="35" t="s">
        <v>79</v>
      </c>
      <c r="E310" s="35">
        <v>0</v>
      </c>
      <c r="F310" s="35">
        <v>1.002</v>
      </c>
      <c r="G310" s="36">
        <v>69.94</v>
      </c>
    </row>
    <row r="311" spans="3:7" x14ac:dyDescent="0.3">
      <c r="C311" s="39"/>
      <c r="D311" s="35" t="s">
        <v>80</v>
      </c>
      <c r="E311" s="35">
        <v>0.01</v>
      </c>
      <c r="F311" s="35">
        <v>0.49399999999999999</v>
      </c>
      <c r="G311" s="36">
        <v>11.59</v>
      </c>
    </row>
    <row r="312" spans="3:7" x14ac:dyDescent="0.3">
      <c r="C312" s="39"/>
      <c r="D312" s="35" t="s">
        <v>52</v>
      </c>
      <c r="E312" s="35">
        <v>0.02</v>
      </c>
      <c r="F312" s="35">
        <v>0.496</v>
      </c>
      <c r="G312" s="36">
        <v>3.9</v>
      </c>
    </row>
    <row r="313" spans="3:7" x14ac:dyDescent="0.3">
      <c r="C313" s="39"/>
      <c r="D313" s="35" t="s">
        <v>82</v>
      </c>
      <c r="E313" s="35">
        <v>0.06</v>
      </c>
      <c r="F313" s="35">
        <v>1.9530000000000001</v>
      </c>
      <c r="G313" s="36">
        <v>4.37</v>
      </c>
    </row>
    <row r="314" spans="3:7" x14ac:dyDescent="0.3">
      <c r="C314" s="39"/>
      <c r="D314" s="35" t="s">
        <v>83</v>
      </c>
      <c r="E314" s="35">
        <v>0.03</v>
      </c>
      <c r="F314" s="35">
        <v>1.484</v>
      </c>
      <c r="G314" s="36">
        <v>6.28</v>
      </c>
    </row>
    <row r="315" spans="3:7" x14ac:dyDescent="0.3">
      <c r="C315" s="39"/>
      <c r="D315" s="35" t="s">
        <v>53</v>
      </c>
      <c r="E315" s="35">
        <v>0.03</v>
      </c>
      <c r="F315" s="35">
        <v>1.0109999999999999</v>
      </c>
      <c r="G315" s="36">
        <v>4.4400000000000004</v>
      </c>
    </row>
    <row r="316" spans="3:7" x14ac:dyDescent="0.3">
      <c r="C316" s="39"/>
      <c r="D316" s="35" t="s">
        <v>54</v>
      </c>
      <c r="E316" s="35">
        <v>0.02</v>
      </c>
      <c r="F316" s="35">
        <v>1.1140000000000001</v>
      </c>
      <c r="G316" s="36">
        <v>6.38</v>
      </c>
    </row>
    <row r="317" spans="3:7" x14ac:dyDescent="0.3">
      <c r="C317" s="39"/>
      <c r="D317" s="35" t="s">
        <v>55</v>
      </c>
      <c r="E317" s="35">
        <v>0.03</v>
      </c>
      <c r="F317" s="35">
        <v>0.99199999999999999</v>
      </c>
      <c r="G317" s="36">
        <v>3.94</v>
      </c>
    </row>
    <row r="318" spans="3:7" x14ac:dyDescent="0.3">
      <c r="C318" s="39"/>
      <c r="D318" s="35" t="s">
        <v>56</v>
      </c>
      <c r="E318" s="35">
        <v>0.01</v>
      </c>
      <c r="F318" s="35">
        <v>0.496</v>
      </c>
      <c r="G318" s="36">
        <v>4.5599999999999996</v>
      </c>
    </row>
    <row r="319" spans="3:7" x14ac:dyDescent="0.3">
      <c r="C319" s="42"/>
      <c r="D319" s="43" t="s">
        <v>57</v>
      </c>
      <c r="E319" s="43">
        <v>0.01</v>
      </c>
      <c r="F319" s="43">
        <v>0.98099999999999998</v>
      </c>
      <c r="G319" s="44">
        <v>14.57</v>
      </c>
    </row>
    <row r="323" spans="3:7" x14ac:dyDescent="0.3">
      <c r="C323" s="31" t="s">
        <v>124</v>
      </c>
      <c r="D323" s="32" t="s">
        <v>24</v>
      </c>
      <c r="E323" s="32" t="s">
        <v>10</v>
      </c>
      <c r="F323" s="32" t="s">
        <v>11</v>
      </c>
      <c r="G323" s="33" t="s">
        <v>25</v>
      </c>
    </row>
    <row r="324" spans="3:7" x14ac:dyDescent="0.3">
      <c r="C324" s="34" t="s">
        <v>125</v>
      </c>
      <c r="D324" s="35" t="s">
        <v>126</v>
      </c>
      <c r="E324" s="35">
        <v>0.28999999999999998</v>
      </c>
      <c r="F324" s="35">
        <v>8.9675999999999991</v>
      </c>
      <c r="G324" s="36">
        <v>4.12</v>
      </c>
    </row>
    <row r="325" spans="3:7" x14ac:dyDescent="0.3">
      <c r="C325" s="34" t="s">
        <v>127</v>
      </c>
      <c r="D325" s="35" t="s">
        <v>128</v>
      </c>
      <c r="E325" s="35">
        <v>0.02</v>
      </c>
      <c r="F325" s="35">
        <v>0.74480000000000002</v>
      </c>
      <c r="G325" s="36">
        <v>4.8600000000000003</v>
      </c>
    </row>
    <row r="326" spans="3:7" x14ac:dyDescent="0.3">
      <c r="C326" s="34" t="s">
        <v>129</v>
      </c>
      <c r="D326" s="35" t="s">
        <v>130</v>
      </c>
      <c r="E326" s="35">
        <v>0.38</v>
      </c>
      <c r="F326" s="35">
        <v>14</v>
      </c>
      <c r="G326" s="36">
        <v>4.8600000000000003</v>
      </c>
    </row>
    <row r="327" spans="3:7" x14ac:dyDescent="0.3">
      <c r="C327" s="39"/>
      <c r="D327" s="37" t="s">
        <v>131</v>
      </c>
      <c r="E327" s="37">
        <v>1.31</v>
      </c>
      <c r="F327" s="37">
        <v>47.9</v>
      </c>
      <c r="G327" s="38">
        <v>4.8600000000000003</v>
      </c>
    </row>
    <row r="328" spans="3:7" x14ac:dyDescent="0.3">
      <c r="C328" s="39"/>
      <c r="D328" s="35" t="s">
        <v>132</v>
      </c>
      <c r="E328" s="35">
        <v>0.33</v>
      </c>
      <c r="F328" s="35">
        <v>12.12</v>
      </c>
      <c r="G328" s="36">
        <v>4.8600000000000003</v>
      </c>
    </row>
    <row r="329" spans="3:7" x14ac:dyDescent="0.3">
      <c r="C329" s="39"/>
      <c r="D329" s="35" t="s">
        <v>133</v>
      </c>
      <c r="E329" s="35">
        <v>0.16</v>
      </c>
      <c r="F329" s="35">
        <v>6</v>
      </c>
      <c r="G329" s="36">
        <v>4.8600000000000003</v>
      </c>
    </row>
    <row r="330" spans="3:7" x14ac:dyDescent="0.3">
      <c r="C330" s="39"/>
      <c r="D330" s="35" t="s">
        <v>134</v>
      </c>
      <c r="E330" s="35">
        <v>0.01</v>
      </c>
      <c r="F330" s="35">
        <v>0.53934000000000004</v>
      </c>
      <c r="G330" s="36">
        <v>4.8600000000000003</v>
      </c>
    </row>
    <row r="331" spans="3:7" x14ac:dyDescent="0.3">
      <c r="C331" s="39"/>
      <c r="D331" s="40" t="s">
        <v>135</v>
      </c>
      <c r="E331" s="40">
        <v>0</v>
      </c>
      <c r="F331" s="40">
        <v>1.2109999999999999E-2</v>
      </c>
      <c r="G331" s="41">
        <v>4.8600000000000003</v>
      </c>
    </row>
    <row r="332" spans="3:7" x14ac:dyDescent="0.3">
      <c r="C332" s="39"/>
      <c r="D332" s="35" t="s">
        <v>136</v>
      </c>
      <c r="E332" s="35">
        <v>0.03</v>
      </c>
      <c r="F332" s="35">
        <v>0.94374999999999998</v>
      </c>
      <c r="G332" s="36">
        <v>4.8600000000000003</v>
      </c>
    </row>
    <row r="333" spans="3:7" x14ac:dyDescent="0.3">
      <c r="C333" s="39"/>
      <c r="D333" s="35" t="s">
        <v>137</v>
      </c>
      <c r="E333" s="35">
        <v>0.03</v>
      </c>
      <c r="F333" s="35">
        <v>0.96789999999999998</v>
      </c>
      <c r="G333" s="36">
        <v>4.8600000000000003</v>
      </c>
    </row>
    <row r="334" spans="3:7" x14ac:dyDescent="0.3">
      <c r="C334" s="39"/>
      <c r="D334" s="35" t="s">
        <v>138</v>
      </c>
      <c r="E334" s="35">
        <v>0.14000000000000001</v>
      </c>
      <c r="F334" s="35">
        <v>5.0694999999999997</v>
      </c>
      <c r="G334" s="36">
        <v>4.8600000000000003</v>
      </c>
    </row>
    <row r="335" spans="3:7" x14ac:dyDescent="0.3">
      <c r="C335" s="39"/>
      <c r="D335" s="35" t="s">
        <v>139</v>
      </c>
      <c r="E335" s="35">
        <v>0.02</v>
      </c>
      <c r="F335" s="35">
        <v>0.73187999999999998</v>
      </c>
      <c r="G335" s="36">
        <v>4.8600000000000003</v>
      </c>
    </row>
    <row r="336" spans="3:7" x14ac:dyDescent="0.3">
      <c r="C336" s="39"/>
      <c r="D336" s="35" t="s">
        <v>140</v>
      </c>
      <c r="E336" s="35">
        <v>7.0000000000000007E-2</v>
      </c>
      <c r="F336" s="35">
        <v>2.4076200000000001</v>
      </c>
      <c r="G336" s="36">
        <v>4.8600000000000003</v>
      </c>
    </row>
    <row r="337" spans="3:7" x14ac:dyDescent="0.3">
      <c r="C337" s="39"/>
      <c r="D337" s="35" t="s">
        <v>141</v>
      </c>
      <c r="E337" s="35">
        <v>0.04</v>
      </c>
      <c r="F337" s="35">
        <v>1.57464</v>
      </c>
      <c r="G337" s="36">
        <v>4.8600000000000003</v>
      </c>
    </row>
    <row r="338" spans="3:7" x14ac:dyDescent="0.3">
      <c r="C338" s="39"/>
      <c r="D338" s="35" t="s">
        <v>142</v>
      </c>
      <c r="E338" s="35">
        <v>0.01</v>
      </c>
      <c r="F338" s="35">
        <v>0.50414000000000003</v>
      </c>
      <c r="G338" s="36">
        <v>4.8600000000000003</v>
      </c>
    </row>
    <row r="339" spans="3:7" x14ac:dyDescent="0.3">
      <c r="C339" s="39"/>
      <c r="D339" s="35" t="s">
        <v>143</v>
      </c>
      <c r="E339" s="35">
        <v>0.01</v>
      </c>
      <c r="F339" s="35">
        <v>0.31069999999999998</v>
      </c>
      <c r="G339" s="36">
        <v>4.8600000000000003</v>
      </c>
    </row>
    <row r="340" spans="3:7" x14ac:dyDescent="0.3">
      <c r="C340" s="39"/>
      <c r="D340" s="35" t="s">
        <v>144</v>
      </c>
      <c r="E340" s="35">
        <v>0</v>
      </c>
      <c r="F340" s="35">
        <v>0.14291999999999999</v>
      </c>
      <c r="G340" s="36">
        <v>4.8600000000000003</v>
      </c>
    </row>
    <row r="341" spans="3:7" x14ac:dyDescent="0.3">
      <c r="C341" s="39"/>
      <c r="D341" s="35" t="s">
        <v>145</v>
      </c>
      <c r="E341" s="35">
        <v>0</v>
      </c>
      <c r="F341" s="35">
        <v>0.14777999999999999</v>
      </c>
      <c r="G341" s="36">
        <v>4.8600000000000003</v>
      </c>
    </row>
    <row r="342" spans="3:7" x14ac:dyDescent="0.3">
      <c r="C342" s="42"/>
      <c r="D342" s="43" t="s">
        <v>146</v>
      </c>
      <c r="E342" s="43">
        <v>0</v>
      </c>
      <c r="F342" s="43">
        <v>0.107</v>
      </c>
      <c r="G342" s="44">
        <v>4.8600000000000003</v>
      </c>
    </row>
    <row r="346" spans="3:7" x14ac:dyDescent="0.3">
      <c r="C346" s="31" t="s">
        <v>147</v>
      </c>
      <c r="D346" s="32" t="s">
        <v>24</v>
      </c>
      <c r="E346" s="32" t="s">
        <v>10</v>
      </c>
      <c r="F346" s="32" t="s">
        <v>11</v>
      </c>
      <c r="G346" s="33" t="s">
        <v>25</v>
      </c>
    </row>
    <row r="347" spans="3:7" x14ac:dyDescent="0.3">
      <c r="C347" s="34" t="s">
        <v>148</v>
      </c>
      <c r="D347" s="37" t="s">
        <v>149</v>
      </c>
      <c r="E347" s="37">
        <v>0.14000000000000001</v>
      </c>
      <c r="F347" s="37">
        <v>6.05</v>
      </c>
      <c r="G347" s="38">
        <v>5.96</v>
      </c>
    </row>
    <row r="348" spans="3:7" x14ac:dyDescent="0.3">
      <c r="C348" s="34" t="s">
        <v>150</v>
      </c>
      <c r="D348" s="35" t="s">
        <v>151</v>
      </c>
      <c r="E348" s="35">
        <v>0.16</v>
      </c>
      <c r="F348" s="35">
        <v>6.01</v>
      </c>
      <c r="G348" s="36">
        <v>4.8600000000000003</v>
      </c>
    </row>
    <row r="349" spans="3:7" x14ac:dyDescent="0.3">
      <c r="C349" s="34" t="s">
        <v>129</v>
      </c>
      <c r="D349" s="35" t="s">
        <v>152</v>
      </c>
      <c r="E349" s="35">
        <v>0</v>
      </c>
      <c r="F349" s="35">
        <v>6.3899999999999998E-2</v>
      </c>
      <c r="G349" s="36">
        <v>4.8600000000000003</v>
      </c>
    </row>
    <row r="350" spans="3:7" x14ac:dyDescent="0.3">
      <c r="C350" s="39"/>
      <c r="D350" s="40" t="s">
        <v>153</v>
      </c>
      <c r="E350" s="40">
        <v>0</v>
      </c>
      <c r="F350" s="40">
        <v>5.7590000000000002E-2</v>
      </c>
      <c r="G350" s="41">
        <v>4.8600000000000003</v>
      </c>
    </row>
    <row r="351" spans="3:7" x14ac:dyDescent="0.3">
      <c r="C351" s="39"/>
      <c r="D351" s="35" t="s">
        <v>154</v>
      </c>
      <c r="E351" s="35">
        <v>0.01</v>
      </c>
      <c r="F351" s="35">
        <v>0.38335999999999998</v>
      </c>
      <c r="G351" s="36">
        <v>4.8600000000000003</v>
      </c>
    </row>
    <row r="352" spans="3:7" x14ac:dyDescent="0.3">
      <c r="C352" s="39"/>
      <c r="D352" s="35" t="s">
        <v>155</v>
      </c>
      <c r="E352" s="35">
        <v>0.01</v>
      </c>
      <c r="F352" s="35">
        <v>0.38202000000000003</v>
      </c>
      <c r="G352" s="36">
        <v>4.8600000000000003</v>
      </c>
    </row>
    <row r="353" spans="3:7" x14ac:dyDescent="0.3">
      <c r="C353" s="39"/>
      <c r="D353" s="35" t="s">
        <v>156</v>
      </c>
      <c r="E353" s="35">
        <v>0.01</v>
      </c>
      <c r="F353" s="35">
        <v>0.32597999999999999</v>
      </c>
      <c r="G353" s="36">
        <v>4.8600000000000003</v>
      </c>
    </row>
    <row r="354" spans="3:7" x14ac:dyDescent="0.3">
      <c r="C354" s="39"/>
      <c r="D354" s="35" t="s">
        <v>157</v>
      </c>
      <c r="E354" s="35">
        <v>0</v>
      </c>
      <c r="F354" s="35">
        <v>8.0079999999999998E-2</v>
      </c>
      <c r="G354" s="36">
        <v>4.8600000000000003</v>
      </c>
    </row>
    <row r="355" spans="3:7" x14ac:dyDescent="0.3">
      <c r="C355" s="39"/>
      <c r="D355" s="35" t="s">
        <v>158</v>
      </c>
      <c r="E355" s="35">
        <v>0.02</v>
      </c>
      <c r="F355" s="35">
        <v>0.59535000000000005</v>
      </c>
      <c r="G355" s="36">
        <v>4.8600000000000003</v>
      </c>
    </row>
    <row r="356" spans="3:7" x14ac:dyDescent="0.3">
      <c r="C356" s="39"/>
      <c r="D356" s="35" t="s">
        <v>159</v>
      </c>
      <c r="E356" s="35">
        <v>0.02</v>
      </c>
      <c r="F356" s="35">
        <v>0.56147999999999998</v>
      </c>
      <c r="G356" s="36">
        <v>4.8600000000000003</v>
      </c>
    </row>
    <row r="357" spans="3:7" x14ac:dyDescent="0.3">
      <c r="C357" s="39"/>
      <c r="D357" s="35" t="s">
        <v>160</v>
      </c>
      <c r="E357" s="35">
        <v>0.11</v>
      </c>
      <c r="F357" s="35">
        <v>0.60697999999999996</v>
      </c>
      <c r="G357" s="36">
        <v>0.74</v>
      </c>
    </row>
    <row r="358" spans="3:7" x14ac:dyDescent="0.3">
      <c r="C358" s="39"/>
      <c r="D358" s="35" t="s">
        <v>161</v>
      </c>
      <c r="E358" s="35">
        <v>0.01</v>
      </c>
      <c r="F358" s="35">
        <v>0.21928</v>
      </c>
      <c r="G358" s="36">
        <v>4.8600000000000003</v>
      </c>
    </row>
    <row r="359" spans="3:7" x14ac:dyDescent="0.3">
      <c r="C359" s="39"/>
      <c r="D359" s="35" t="s">
        <v>162</v>
      </c>
      <c r="E359" s="35">
        <v>0.03</v>
      </c>
      <c r="F359" s="35">
        <v>1.00224</v>
      </c>
      <c r="G359" s="36">
        <v>4.8600000000000003</v>
      </c>
    </row>
    <row r="360" spans="3:7" x14ac:dyDescent="0.3">
      <c r="C360" s="39"/>
      <c r="D360" s="35" t="s">
        <v>163</v>
      </c>
      <c r="E360" s="35">
        <v>0.04</v>
      </c>
      <c r="F360" s="35">
        <v>0.23282</v>
      </c>
      <c r="G360" s="36">
        <v>0.88</v>
      </c>
    </row>
    <row r="361" spans="3:7" x14ac:dyDescent="0.3">
      <c r="C361" s="42"/>
      <c r="D361" s="43" t="s">
        <v>164</v>
      </c>
      <c r="E361" s="43">
        <v>0.03</v>
      </c>
      <c r="F361" s="43">
        <v>1.20642</v>
      </c>
      <c r="G361" s="44">
        <v>4.8600000000000003</v>
      </c>
    </row>
    <row r="365" spans="3:7" x14ac:dyDescent="0.3">
      <c r="C365" s="31" t="s">
        <v>165</v>
      </c>
      <c r="D365" s="32" t="s">
        <v>24</v>
      </c>
      <c r="E365" s="32" t="s">
        <v>10</v>
      </c>
      <c r="F365" s="32" t="s">
        <v>11</v>
      </c>
      <c r="G365" s="33" t="s">
        <v>25</v>
      </c>
    </row>
    <row r="366" spans="3:7" x14ac:dyDescent="0.3">
      <c r="C366" s="34" t="s">
        <v>166</v>
      </c>
      <c r="D366" s="35" t="s">
        <v>167</v>
      </c>
      <c r="E366" s="35">
        <v>0.27</v>
      </c>
      <c r="F366" s="35">
        <v>9.7929600000000008</v>
      </c>
      <c r="G366" s="36">
        <v>4.8600000000000003</v>
      </c>
    </row>
    <row r="367" spans="3:7" x14ac:dyDescent="0.3">
      <c r="C367" s="34" t="s">
        <v>168</v>
      </c>
      <c r="D367" s="35" t="s">
        <v>169</v>
      </c>
      <c r="E367" s="35">
        <v>0.27</v>
      </c>
      <c r="F367" s="35">
        <v>9.7897200000000009</v>
      </c>
      <c r="G367" s="36">
        <v>4.8600000000000003</v>
      </c>
    </row>
    <row r="368" spans="3:7" x14ac:dyDescent="0.3">
      <c r="C368" s="34" t="s">
        <v>129</v>
      </c>
      <c r="D368" s="35" t="s">
        <v>170</v>
      </c>
      <c r="E368" s="35">
        <v>0.01</v>
      </c>
      <c r="F368" s="35">
        <v>0.44927</v>
      </c>
      <c r="G368" s="36">
        <v>4.8600000000000003</v>
      </c>
    </row>
    <row r="369" spans="3:7" x14ac:dyDescent="0.3">
      <c r="C369" s="39"/>
      <c r="D369" s="40" t="s">
        <v>171</v>
      </c>
      <c r="E369" s="40">
        <v>0</v>
      </c>
      <c r="F369" s="40">
        <v>3.4090000000000002E-2</v>
      </c>
      <c r="G369" s="41">
        <v>4.8600000000000003</v>
      </c>
    </row>
    <row r="370" spans="3:7" x14ac:dyDescent="0.3">
      <c r="C370" s="39"/>
      <c r="D370" s="35" t="s">
        <v>172</v>
      </c>
      <c r="E370" s="35">
        <v>0.02</v>
      </c>
      <c r="F370" s="35">
        <v>0.54703999999999997</v>
      </c>
      <c r="G370" s="36">
        <v>4.8600000000000003</v>
      </c>
    </row>
    <row r="371" spans="3:7" x14ac:dyDescent="0.3">
      <c r="C371" s="39"/>
      <c r="D371" s="35" t="s">
        <v>173</v>
      </c>
      <c r="E371" s="35">
        <v>0</v>
      </c>
      <c r="F371" s="35">
        <v>6.8169999999999994E-2</v>
      </c>
      <c r="G371" s="36">
        <v>4.8600000000000003</v>
      </c>
    </row>
    <row r="372" spans="3:7" x14ac:dyDescent="0.3">
      <c r="C372" s="39"/>
      <c r="D372" s="35" t="s">
        <v>174</v>
      </c>
      <c r="E372" s="35">
        <v>0.02</v>
      </c>
      <c r="F372" s="35">
        <v>0.54703999999999997</v>
      </c>
      <c r="G372" s="36">
        <v>4.8600000000000003</v>
      </c>
    </row>
    <row r="373" spans="3:7" x14ac:dyDescent="0.3">
      <c r="C373" s="39"/>
      <c r="D373" s="35" t="s">
        <v>175</v>
      </c>
      <c r="E373" s="35">
        <v>0.01</v>
      </c>
      <c r="F373" s="35">
        <v>0.26650000000000001</v>
      </c>
      <c r="G373" s="36">
        <v>4.8600000000000003</v>
      </c>
    </row>
    <row r="374" spans="3:7" x14ac:dyDescent="0.3">
      <c r="C374" s="39"/>
      <c r="D374" s="37" t="s">
        <v>176</v>
      </c>
      <c r="E374" s="37">
        <v>1.37</v>
      </c>
      <c r="F374" s="37">
        <v>50</v>
      </c>
      <c r="G374" s="38">
        <v>4.8600000000000003</v>
      </c>
    </row>
    <row r="375" spans="3:7" x14ac:dyDescent="0.3">
      <c r="C375" s="42"/>
      <c r="D375" s="43" t="s">
        <v>177</v>
      </c>
      <c r="E375" s="43">
        <v>0.01</v>
      </c>
      <c r="F375" s="43">
        <v>0.30992999999999998</v>
      </c>
      <c r="G375" s="44">
        <v>4.8600000000000003</v>
      </c>
    </row>
    <row r="379" spans="3:7" x14ac:dyDescent="0.3">
      <c r="C379" s="31" t="s">
        <v>178</v>
      </c>
      <c r="D379" s="32" t="s">
        <v>24</v>
      </c>
      <c r="E379" s="32" t="s">
        <v>10</v>
      </c>
      <c r="F379" s="32" t="s">
        <v>11</v>
      </c>
      <c r="G379" s="33" t="s">
        <v>25</v>
      </c>
    </row>
    <row r="380" spans="3:7" x14ac:dyDescent="0.3">
      <c r="C380" s="34" t="s">
        <v>179</v>
      </c>
      <c r="D380" s="40" t="s">
        <v>180</v>
      </c>
      <c r="E380" s="40">
        <v>0</v>
      </c>
      <c r="F380" s="40">
        <v>6.1089999999999998E-2</v>
      </c>
      <c r="G380" s="41">
        <v>4.8600000000000003</v>
      </c>
    </row>
    <row r="381" spans="3:7" x14ac:dyDescent="0.3">
      <c r="C381" s="34" t="s">
        <v>181</v>
      </c>
      <c r="D381" s="37" t="s">
        <v>182</v>
      </c>
      <c r="E381" s="37">
        <v>0.01</v>
      </c>
      <c r="F381" s="37">
        <v>0.47344999999999998</v>
      </c>
      <c r="G381" s="38">
        <v>4.8600000000000003</v>
      </c>
    </row>
    <row r="382" spans="3:7" x14ac:dyDescent="0.3">
      <c r="C382" s="45" t="s">
        <v>129</v>
      </c>
      <c r="D382" s="43" t="s">
        <v>183</v>
      </c>
      <c r="E382" s="43">
        <v>0</v>
      </c>
      <c r="F382" s="43">
        <v>0.14179</v>
      </c>
      <c r="G382" s="44">
        <v>4.8600000000000003</v>
      </c>
    </row>
    <row r="386" spans="3:7" x14ac:dyDescent="0.3">
      <c r="C386" s="31" t="s">
        <v>184</v>
      </c>
      <c r="D386" s="32" t="s">
        <v>24</v>
      </c>
      <c r="E386" s="32" t="s">
        <v>10</v>
      </c>
      <c r="F386" s="32" t="s">
        <v>11</v>
      </c>
      <c r="G386" s="33" t="s">
        <v>25</v>
      </c>
    </row>
    <row r="387" spans="3:7" x14ac:dyDescent="0.3">
      <c r="C387" s="34" t="s">
        <v>185</v>
      </c>
      <c r="D387" s="35" t="s">
        <v>186</v>
      </c>
      <c r="E387" s="35">
        <v>0.02</v>
      </c>
      <c r="F387" s="35">
        <v>0.74111000000000005</v>
      </c>
      <c r="G387" s="36">
        <v>4.8600000000000003</v>
      </c>
    </row>
    <row r="388" spans="3:7" x14ac:dyDescent="0.3">
      <c r="C388" s="34" t="s">
        <v>187</v>
      </c>
      <c r="D388" s="37" t="s">
        <v>188</v>
      </c>
      <c r="E388" s="37">
        <v>0.03</v>
      </c>
      <c r="F388" s="37">
        <v>1.0488200000000001</v>
      </c>
      <c r="G388" s="38">
        <v>4.8600000000000003</v>
      </c>
    </row>
    <row r="389" spans="3:7" x14ac:dyDescent="0.3">
      <c r="C389" s="45" t="s">
        <v>129</v>
      </c>
      <c r="D389" s="46" t="s">
        <v>189</v>
      </c>
      <c r="E389" s="46">
        <v>0.01</v>
      </c>
      <c r="F389" s="46">
        <v>0.22281000000000001</v>
      </c>
      <c r="G389" s="47">
        <v>2.57</v>
      </c>
    </row>
    <row r="393" spans="3:7" x14ac:dyDescent="0.3">
      <c r="C393" s="31" t="s">
        <v>190</v>
      </c>
      <c r="D393" s="32" t="s">
        <v>24</v>
      </c>
      <c r="E393" s="32" t="s">
        <v>10</v>
      </c>
      <c r="F393" s="32" t="s">
        <v>11</v>
      </c>
      <c r="G393" s="33" t="s">
        <v>25</v>
      </c>
    </row>
    <row r="394" spans="3:7" x14ac:dyDescent="0.3">
      <c r="C394" s="34" t="s">
        <v>191</v>
      </c>
      <c r="D394" s="37" t="s">
        <v>192</v>
      </c>
      <c r="E394" s="37">
        <v>0.89</v>
      </c>
      <c r="F394" s="37">
        <v>32.284799999999997</v>
      </c>
      <c r="G394" s="38">
        <v>4.8600000000000003</v>
      </c>
    </row>
    <row r="395" spans="3:7" x14ac:dyDescent="0.3">
      <c r="C395" s="34" t="s">
        <v>193</v>
      </c>
      <c r="D395" s="35"/>
      <c r="E395" s="35"/>
      <c r="F395" s="35"/>
      <c r="G395" s="36"/>
    </row>
    <row r="396" spans="3:7" x14ac:dyDescent="0.3">
      <c r="C396" s="45" t="s">
        <v>129</v>
      </c>
      <c r="D396" s="43"/>
      <c r="E396" s="43"/>
      <c r="F396" s="43"/>
      <c r="G396" s="44"/>
    </row>
    <row r="400" spans="3:7" x14ac:dyDescent="0.3">
      <c r="C400" s="31" t="s">
        <v>194</v>
      </c>
      <c r="D400" s="32" t="s">
        <v>24</v>
      </c>
      <c r="E400" s="32" t="s">
        <v>10</v>
      </c>
      <c r="F400" s="32" t="s">
        <v>11</v>
      </c>
      <c r="G400" s="33" t="s">
        <v>25</v>
      </c>
    </row>
    <row r="401" spans="3:7" x14ac:dyDescent="0.3">
      <c r="C401" s="34" t="s">
        <v>191</v>
      </c>
      <c r="D401" s="37" t="s">
        <v>195</v>
      </c>
      <c r="E401" s="37">
        <v>0.89</v>
      </c>
      <c r="F401" s="37">
        <v>32.284799999999997</v>
      </c>
      <c r="G401" s="38">
        <v>4.8600000000000003</v>
      </c>
    </row>
    <row r="402" spans="3:7" x14ac:dyDescent="0.3">
      <c r="C402" s="34" t="s">
        <v>193</v>
      </c>
      <c r="D402" s="35"/>
      <c r="E402" s="35"/>
      <c r="F402" s="35"/>
      <c r="G402" s="36"/>
    </row>
    <row r="403" spans="3:7" x14ac:dyDescent="0.3">
      <c r="C403" s="45" t="s">
        <v>129</v>
      </c>
      <c r="D403" s="43"/>
      <c r="E403" s="43"/>
      <c r="F403" s="43"/>
      <c r="G403" s="44"/>
    </row>
    <row r="407" spans="3:7" x14ac:dyDescent="0.3">
      <c r="C407" s="31" t="s">
        <v>196</v>
      </c>
      <c r="D407" s="32" t="s">
        <v>24</v>
      </c>
      <c r="E407" s="32" t="s">
        <v>10</v>
      </c>
      <c r="F407" s="32" t="s">
        <v>11</v>
      </c>
      <c r="G407" s="33" t="s">
        <v>25</v>
      </c>
    </row>
    <row r="408" spans="3:7" x14ac:dyDescent="0.3">
      <c r="C408" s="34" t="s">
        <v>197</v>
      </c>
      <c r="D408" s="37" t="s">
        <v>198</v>
      </c>
      <c r="E408" s="37">
        <v>0.4</v>
      </c>
      <c r="F408" s="37">
        <v>0.62219999999999998</v>
      </c>
      <c r="G408" s="38">
        <v>0.21</v>
      </c>
    </row>
    <row r="409" spans="3:7" x14ac:dyDescent="0.3">
      <c r="C409" s="34" t="s">
        <v>199</v>
      </c>
      <c r="D409" s="35"/>
      <c r="E409" s="35"/>
      <c r="F409" s="35"/>
      <c r="G409" s="36"/>
    </row>
    <row r="410" spans="3:7" x14ac:dyDescent="0.3">
      <c r="C410" s="45" t="s">
        <v>200</v>
      </c>
      <c r="D410" s="43"/>
      <c r="E410" s="43"/>
      <c r="F410" s="43"/>
      <c r="G410" s="44"/>
    </row>
    <row r="414" spans="3:7" x14ac:dyDescent="0.3">
      <c r="C414" s="31" t="s">
        <v>201</v>
      </c>
      <c r="D414" s="32" t="s">
        <v>24</v>
      </c>
      <c r="E414" s="32" t="s">
        <v>10</v>
      </c>
      <c r="F414" s="32" t="s">
        <v>11</v>
      </c>
      <c r="G414" s="33" t="s">
        <v>25</v>
      </c>
    </row>
    <row r="415" spans="3:7" x14ac:dyDescent="0.3">
      <c r="C415" s="34" t="s">
        <v>202</v>
      </c>
      <c r="D415" s="37" t="s">
        <v>203</v>
      </c>
      <c r="E415" s="37">
        <v>0.04</v>
      </c>
      <c r="F415" s="37">
        <v>1.88811</v>
      </c>
      <c r="G415" s="38">
        <v>5.92</v>
      </c>
    </row>
    <row r="416" spans="3:7" x14ac:dyDescent="0.3">
      <c r="C416" s="34" t="s">
        <v>187</v>
      </c>
      <c r="D416" s="40" t="s">
        <v>204</v>
      </c>
      <c r="E416" s="40">
        <v>0.02</v>
      </c>
      <c r="F416" s="40">
        <v>1.05894</v>
      </c>
      <c r="G416" s="41">
        <v>5.92</v>
      </c>
    </row>
    <row r="417" spans="3:7" x14ac:dyDescent="0.3">
      <c r="C417" s="45" t="s">
        <v>200</v>
      </c>
      <c r="D417" s="43"/>
      <c r="E417" s="43"/>
      <c r="F417" s="43"/>
      <c r="G417" s="44"/>
    </row>
    <row r="421" spans="3:7" x14ac:dyDescent="0.3">
      <c r="C421" s="31" t="s">
        <v>205</v>
      </c>
      <c r="D421" s="32" t="s">
        <v>24</v>
      </c>
      <c r="E421" s="32" t="s">
        <v>10</v>
      </c>
      <c r="F421" s="32" t="s">
        <v>11</v>
      </c>
      <c r="G421" s="33" t="s">
        <v>25</v>
      </c>
    </row>
    <row r="422" spans="3:7" x14ac:dyDescent="0.3">
      <c r="C422" s="34" t="s">
        <v>206</v>
      </c>
      <c r="D422" s="37" t="s">
        <v>207</v>
      </c>
      <c r="E422" s="37">
        <v>4.21</v>
      </c>
      <c r="F422" s="37">
        <v>29.081250000000001</v>
      </c>
      <c r="G422" s="38">
        <v>0.92</v>
      </c>
    </row>
    <row r="423" spans="3:7" x14ac:dyDescent="0.3">
      <c r="C423" s="34" t="s">
        <v>208</v>
      </c>
      <c r="D423" s="40" t="s">
        <v>209</v>
      </c>
      <c r="E423" s="40">
        <v>0.79</v>
      </c>
      <c r="F423" s="40">
        <v>2.7959999999999998</v>
      </c>
      <c r="G423" s="41">
        <v>0.47</v>
      </c>
    </row>
    <row r="424" spans="3:7" x14ac:dyDescent="0.3">
      <c r="C424" s="45" t="s">
        <v>200</v>
      </c>
      <c r="D424" s="43"/>
      <c r="E424" s="43"/>
      <c r="F424" s="43"/>
      <c r="G424" s="44"/>
    </row>
    <row r="428" spans="3:7" x14ac:dyDescent="0.3">
      <c r="C428" s="31" t="s">
        <v>210</v>
      </c>
      <c r="D428" s="32" t="s">
        <v>24</v>
      </c>
      <c r="E428" s="32" t="s">
        <v>10</v>
      </c>
      <c r="F428" s="32" t="s">
        <v>11</v>
      </c>
      <c r="G428" s="33" t="s">
        <v>25</v>
      </c>
    </row>
    <row r="429" spans="3:7" x14ac:dyDescent="0.3">
      <c r="C429" s="34" t="s">
        <v>211</v>
      </c>
      <c r="D429" s="37" t="s">
        <v>212</v>
      </c>
      <c r="E429" s="37">
        <v>0.79</v>
      </c>
      <c r="F429" s="37">
        <v>2.73</v>
      </c>
      <c r="G429" s="38">
        <v>0.46</v>
      </c>
    </row>
    <row r="430" spans="3:7" x14ac:dyDescent="0.3">
      <c r="C430" s="34" t="s">
        <v>213</v>
      </c>
      <c r="D430" s="35"/>
      <c r="E430" s="35"/>
      <c r="F430" s="35"/>
      <c r="G430" s="36"/>
    </row>
    <row r="431" spans="3:7" x14ac:dyDescent="0.3">
      <c r="C431" s="45" t="s">
        <v>200</v>
      </c>
      <c r="D431" s="43"/>
      <c r="E431" s="43"/>
      <c r="F431" s="43"/>
      <c r="G431" s="44"/>
    </row>
    <row r="435" spans="3:7" x14ac:dyDescent="0.3">
      <c r="C435" s="31" t="s">
        <v>214</v>
      </c>
      <c r="D435" s="32" t="s">
        <v>24</v>
      </c>
      <c r="E435" s="32" t="s">
        <v>10</v>
      </c>
      <c r="F435" s="32" t="s">
        <v>11</v>
      </c>
      <c r="G435" s="33" t="s">
        <v>25</v>
      </c>
    </row>
    <row r="436" spans="3:7" x14ac:dyDescent="0.3">
      <c r="C436" s="34" t="s">
        <v>215</v>
      </c>
      <c r="D436" s="37" t="s">
        <v>216</v>
      </c>
      <c r="E436" s="37">
        <v>0.93</v>
      </c>
      <c r="F436" s="37">
        <v>3</v>
      </c>
      <c r="G436" s="38">
        <v>0.43</v>
      </c>
    </row>
    <row r="437" spans="3:7" x14ac:dyDescent="0.3">
      <c r="C437" s="34" t="s">
        <v>217</v>
      </c>
      <c r="D437" s="40" t="s">
        <v>218</v>
      </c>
      <c r="E437" s="40">
        <v>1.54</v>
      </c>
      <c r="F437" s="40">
        <v>2.6579999999999999</v>
      </c>
      <c r="G437" s="41">
        <v>0.23</v>
      </c>
    </row>
    <row r="438" spans="3:7" x14ac:dyDescent="0.3">
      <c r="C438" s="45" t="s">
        <v>200</v>
      </c>
      <c r="D438" s="43"/>
      <c r="E438" s="43"/>
      <c r="F438" s="43"/>
      <c r="G438" s="44"/>
    </row>
    <row r="442" spans="3:7" x14ac:dyDescent="0.3">
      <c r="C442" s="31" t="s">
        <v>219</v>
      </c>
      <c r="D442" s="32" t="s">
        <v>24</v>
      </c>
      <c r="E442" s="32" t="s">
        <v>10</v>
      </c>
      <c r="F442" s="32" t="s">
        <v>11</v>
      </c>
      <c r="G442" s="33" t="s">
        <v>25</v>
      </c>
    </row>
    <row r="443" spans="3:7" x14ac:dyDescent="0.3">
      <c r="C443" s="34" t="s">
        <v>211</v>
      </c>
      <c r="D443" s="37" t="s">
        <v>212</v>
      </c>
      <c r="E443" s="37">
        <v>0.79</v>
      </c>
      <c r="F443" s="37">
        <v>2.73</v>
      </c>
      <c r="G443" s="38">
        <v>0.46</v>
      </c>
    </row>
    <row r="444" spans="3:7" x14ac:dyDescent="0.3">
      <c r="C444" s="34" t="s">
        <v>213</v>
      </c>
      <c r="D444" s="35"/>
      <c r="E444" s="35"/>
      <c r="F444" s="35"/>
      <c r="G444" s="36"/>
    </row>
    <row r="445" spans="3:7" x14ac:dyDescent="0.3">
      <c r="C445" s="45" t="s">
        <v>200</v>
      </c>
      <c r="D445" s="43"/>
      <c r="E445" s="43"/>
      <c r="F445" s="43"/>
      <c r="G445" s="44"/>
    </row>
    <row r="449" spans="3:7" x14ac:dyDescent="0.3">
      <c r="C449" s="31" t="s">
        <v>220</v>
      </c>
      <c r="D449" s="32" t="s">
        <v>24</v>
      </c>
      <c r="E449" s="32" t="s">
        <v>10</v>
      </c>
      <c r="F449" s="32" t="s">
        <v>11</v>
      </c>
      <c r="G449" s="33" t="s">
        <v>25</v>
      </c>
    </row>
    <row r="450" spans="3:7" x14ac:dyDescent="0.3">
      <c r="C450" s="34" t="s">
        <v>221</v>
      </c>
      <c r="D450" s="35" t="s">
        <v>222</v>
      </c>
      <c r="E450" s="35">
        <v>0.68</v>
      </c>
      <c r="F450" s="35">
        <v>3.6920000000000002</v>
      </c>
      <c r="G450" s="36">
        <v>0.72</v>
      </c>
    </row>
    <row r="451" spans="3:7" x14ac:dyDescent="0.3">
      <c r="C451" s="34" t="s">
        <v>223</v>
      </c>
      <c r="D451" s="35" t="s">
        <v>224</v>
      </c>
      <c r="E451" s="35">
        <v>0.36</v>
      </c>
      <c r="F451" s="35">
        <v>1.9359999999999999</v>
      </c>
      <c r="G451" s="36">
        <v>0.72</v>
      </c>
    </row>
    <row r="452" spans="3:7" x14ac:dyDescent="0.3">
      <c r="C452" s="34" t="s">
        <v>225</v>
      </c>
      <c r="D452" s="35" t="s">
        <v>226</v>
      </c>
      <c r="E452" s="35">
        <v>0.36</v>
      </c>
      <c r="F452" s="35">
        <v>1.9359999999999999</v>
      </c>
      <c r="G452" s="36">
        <v>0.72</v>
      </c>
    </row>
    <row r="453" spans="3:7" x14ac:dyDescent="0.3">
      <c r="C453" s="39"/>
      <c r="D453" s="40" t="s">
        <v>227</v>
      </c>
      <c r="E453" s="40">
        <v>0.01</v>
      </c>
      <c r="F453" s="40">
        <v>0.186</v>
      </c>
      <c r="G453" s="41">
        <v>4.8600000000000003</v>
      </c>
    </row>
    <row r="454" spans="3:7" x14ac:dyDescent="0.3">
      <c r="C454" s="39"/>
      <c r="D454" s="35" t="s">
        <v>228</v>
      </c>
      <c r="E454" s="35">
        <v>0.03</v>
      </c>
      <c r="F454" s="35">
        <v>1.198</v>
      </c>
      <c r="G454" s="36">
        <v>4.8600000000000003</v>
      </c>
    </row>
    <row r="455" spans="3:7" x14ac:dyDescent="0.3">
      <c r="C455" s="39"/>
      <c r="D455" s="35" t="s">
        <v>229</v>
      </c>
      <c r="E455" s="35">
        <v>0.85</v>
      </c>
      <c r="F455" s="35">
        <v>31.04</v>
      </c>
      <c r="G455" s="36">
        <v>4.8600000000000003</v>
      </c>
    </row>
    <row r="456" spans="3:7" x14ac:dyDescent="0.3">
      <c r="C456" s="39"/>
      <c r="D456" s="35" t="s">
        <v>230</v>
      </c>
      <c r="E456" s="35">
        <v>0.85</v>
      </c>
      <c r="F456" s="35">
        <v>31.04</v>
      </c>
      <c r="G456" s="36">
        <v>4.8600000000000003</v>
      </c>
    </row>
    <row r="457" spans="3:7" x14ac:dyDescent="0.3">
      <c r="C457" s="39"/>
      <c r="D457" s="35" t="s">
        <v>231</v>
      </c>
      <c r="E457" s="35">
        <v>0.56999999999999995</v>
      </c>
      <c r="F457" s="35">
        <v>20.657</v>
      </c>
      <c r="G457" s="36">
        <v>4.8600000000000003</v>
      </c>
    </row>
    <row r="458" spans="3:7" x14ac:dyDescent="0.3">
      <c r="C458" s="39"/>
      <c r="D458" s="37" t="s">
        <v>232</v>
      </c>
      <c r="E458" s="37">
        <v>1.18</v>
      </c>
      <c r="F458" s="37">
        <v>43.12</v>
      </c>
      <c r="G458" s="38">
        <v>4.8600000000000003</v>
      </c>
    </row>
    <row r="459" spans="3:7" x14ac:dyDescent="0.3">
      <c r="C459" s="39"/>
      <c r="D459" s="35" t="s">
        <v>233</v>
      </c>
      <c r="E459" s="35">
        <v>0.77</v>
      </c>
      <c r="F459" s="35">
        <v>28.015999999999998</v>
      </c>
      <c r="G459" s="36">
        <v>4.8600000000000003</v>
      </c>
    </row>
    <row r="460" spans="3:7" x14ac:dyDescent="0.3">
      <c r="C460" s="39"/>
      <c r="D460" s="35" t="s">
        <v>234</v>
      </c>
      <c r="E460" s="35">
        <v>0.09</v>
      </c>
      <c r="F460" s="35">
        <v>3.3029999999999999</v>
      </c>
      <c r="G460" s="36">
        <v>4.8600000000000003</v>
      </c>
    </row>
    <row r="461" spans="3:7" x14ac:dyDescent="0.3">
      <c r="C461" s="39"/>
      <c r="D461" s="35" t="s">
        <v>235</v>
      </c>
      <c r="E461" s="35">
        <v>0.03</v>
      </c>
      <c r="F461" s="35">
        <v>1.1879999999999999</v>
      </c>
      <c r="G461" s="36">
        <v>4.8600000000000003</v>
      </c>
    </row>
    <row r="462" spans="3:7" x14ac:dyDescent="0.3">
      <c r="C462" s="39"/>
      <c r="D462" s="35" t="s">
        <v>236</v>
      </c>
      <c r="E462" s="35">
        <v>0.08</v>
      </c>
      <c r="F462" s="35">
        <v>3.04</v>
      </c>
      <c r="G462" s="36">
        <v>4.8600000000000003</v>
      </c>
    </row>
    <row r="463" spans="3:7" x14ac:dyDescent="0.3">
      <c r="C463" s="39"/>
      <c r="D463" s="35" t="s">
        <v>237</v>
      </c>
      <c r="E463" s="35">
        <v>0.05</v>
      </c>
      <c r="F463" s="35">
        <v>1.84</v>
      </c>
      <c r="G463" s="36">
        <v>4.8600000000000003</v>
      </c>
    </row>
    <row r="464" spans="3:7" x14ac:dyDescent="0.3">
      <c r="C464" s="42"/>
      <c r="D464" s="43" t="s">
        <v>238</v>
      </c>
      <c r="E464" s="43">
        <v>0.15</v>
      </c>
      <c r="F464" s="43">
        <v>5.5679999999999996</v>
      </c>
      <c r="G464" s="44">
        <v>4.8600000000000003</v>
      </c>
    </row>
    <row r="468" spans="3:7" x14ac:dyDescent="0.3">
      <c r="C468" s="31" t="s">
        <v>239</v>
      </c>
      <c r="D468" s="32" t="s">
        <v>24</v>
      </c>
      <c r="E468" s="32" t="s">
        <v>10</v>
      </c>
      <c r="F468" s="32" t="s">
        <v>11</v>
      </c>
      <c r="G468" s="33" t="s">
        <v>25</v>
      </c>
    </row>
    <row r="469" spans="3:7" x14ac:dyDescent="0.3">
      <c r="C469" s="34" t="s">
        <v>240</v>
      </c>
      <c r="D469" s="40" t="s">
        <v>241</v>
      </c>
      <c r="E469" s="40">
        <v>0.03</v>
      </c>
      <c r="F469" s="40">
        <v>1.2206999999999999</v>
      </c>
      <c r="G469" s="41">
        <v>4.8600000000000003</v>
      </c>
    </row>
    <row r="470" spans="3:7" x14ac:dyDescent="0.3">
      <c r="C470" s="34" t="s">
        <v>242</v>
      </c>
      <c r="D470" s="35" t="s">
        <v>243</v>
      </c>
      <c r="E470" s="35">
        <v>0.04</v>
      </c>
      <c r="F470" s="35">
        <v>1.5405</v>
      </c>
      <c r="G470" s="36">
        <v>4.8600000000000003</v>
      </c>
    </row>
    <row r="471" spans="3:7" x14ac:dyDescent="0.3">
      <c r="C471" s="45" t="s">
        <v>225</v>
      </c>
      <c r="D471" s="48" t="s">
        <v>244</v>
      </c>
      <c r="E471" s="48">
        <v>0.49</v>
      </c>
      <c r="F471" s="48">
        <v>17.745000000000001</v>
      </c>
      <c r="G471" s="49">
        <v>4.8600000000000003</v>
      </c>
    </row>
    <row r="475" spans="3:7" x14ac:dyDescent="0.3">
      <c r="C475" s="31" t="s">
        <v>245</v>
      </c>
      <c r="D475" s="32" t="s">
        <v>24</v>
      </c>
      <c r="E475" s="32" t="s">
        <v>10</v>
      </c>
      <c r="F475" s="32" t="s">
        <v>11</v>
      </c>
      <c r="G475" s="33" t="s">
        <v>25</v>
      </c>
    </row>
    <row r="476" spans="3:7" x14ac:dyDescent="0.3">
      <c r="C476" s="34" t="s">
        <v>246</v>
      </c>
      <c r="D476" s="37" t="s">
        <v>247</v>
      </c>
      <c r="E476" s="37">
        <v>1.22</v>
      </c>
      <c r="F476" s="37">
        <v>30.294540000000001</v>
      </c>
      <c r="G476" s="38">
        <v>3.31</v>
      </c>
    </row>
    <row r="477" spans="3:7" x14ac:dyDescent="0.3">
      <c r="C477" s="34" t="s">
        <v>248</v>
      </c>
      <c r="D477" s="35"/>
      <c r="E477" s="35"/>
      <c r="F477" s="35"/>
      <c r="G477" s="36"/>
    </row>
    <row r="478" spans="3:7" x14ac:dyDescent="0.3">
      <c r="C478" s="45" t="s">
        <v>249</v>
      </c>
      <c r="D478" s="43"/>
      <c r="E478" s="43"/>
      <c r="F478" s="43"/>
      <c r="G478" s="44"/>
    </row>
    <row r="482" spans="3:7" x14ac:dyDescent="0.3">
      <c r="C482" s="31" t="s">
        <v>250</v>
      </c>
      <c r="D482" s="32" t="s">
        <v>24</v>
      </c>
      <c r="E482" s="32" t="s">
        <v>10</v>
      </c>
      <c r="F482" s="32" t="s">
        <v>11</v>
      </c>
      <c r="G482" s="33" t="s">
        <v>25</v>
      </c>
    </row>
    <row r="483" spans="3:7" x14ac:dyDescent="0.3">
      <c r="C483" s="34" t="s">
        <v>251</v>
      </c>
      <c r="D483" s="35" t="s">
        <v>252</v>
      </c>
      <c r="E483" s="35">
        <v>0.76</v>
      </c>
      <c r="F483" s="35">
        <v>27.059760000000001</v>
      </c>
      <c r="G483" s="36">
        <v>4.7300000000000004</v>
      </c>
    </row>
    <row r="484" spans="3:7" x14ac:dyDescent="0.3">
      <c r="C484" s="34" t="s">
        <v>253</v>
      </c>
      <c r="D484" s="35" t="s">
        <v>254</v>
      </c>
      <c r="E484" s="35">
        <v>1.69</v>
      </c>
      <c r="F484" s="35">
        <v>21.831</v>
      </c>
      <c r="G484" s="36">
        <v>1.72</v>
      </c>
    </row>
    <row r="485" spans="3:7" x14ac:dyDescent="0.3">
      <c r="C485" s="34" t="s">
        <v>249</v>
      </c>
      <c r="D485" s="35" t="s">
        <v>247</v>
      </c>
      <c r="E485" s="35">
        <v>1.17</v>
      </c>
      <c r="F485" s="35">
        <v>29.000160000000001</v>
      </c>
      <c r="G485" s="36">
        <v>3.31</v>
      </c>
    </row>
    <row r="486" spans="3:7" x14ac:dyDescent="0.3">
      <c r="C486" s="39"/>
      <c r="D486" s="37" t="s">
        <v>255</v>
      </c>
      <c r="E486" s="37">
        <v>3.73</v>
      </c>
      <c r="F486" s="37">
        <v>44.805599999999998</v>
      </c>
      <c r="G486" s="38">
        <v>1.6</v>
      </c>
    </row>
    <row r="487" spans="3:7" x14ac:dyDescent="0.3">
      <c r="C487" s="39"/>
      <c r="D487" s="35" t="s">
        <v>256</v>
      </c>
      <c r="E487" s="35">
        <v>0.86</v>
      </c>
      <c r="F487" s="35">
        <v>9.7812000000000001</v>
      </c>
      <c r="G487" s="36">
        <v>1.52</v>
      </c>
    </row>
    <row r="488" spans="3:7" x14ac:dyDescent="0.3">
      <c r="C488" s="42"/>
      <c r="D488" s="46" t="s">
        <v>257</v>
      </c>
      <c r="E488" s="46">
        <v>0.18</v>
      </c>
      <c r="F488" s="46">
        <v>6.0880000000000001</v>
      </c>
      <c r="G488" s="47">
        <v>4.42</v>
      </c>
    </row>
    <row r="492" spans="3:7" x14ac:dyDescent="0.3">
      <c r="C492" s="31" t="s">
        <v>258</v>
      </c>
      <c r="D492" s="32" t="s">
        <v>24</v>
      </c>
      <c r="E492" s="32" t="s">
        <v>10</v>
      </c>
      <c r="F492" s="32" t="s">
        <v>11</v>
      </c>
      <c r="G492" s="33" t="s">
        <v>25</v>
      </c>
    </row>
    <row r="493" spans="3:7" x14ac:dyDescent="0.3">
      <c r="C493" s="34" t="s">
        <v>259</v>
      </c>
      <c r="D493" s="40" t="s">
        <v>260</v>
      </c>
      <c r="E493" s="40">
        <v>0.62</v>
      </c>
      <c r="F493" s="40">
        <v>4</v>
      </c>
      <c r="G493" s="41">
        <v>0.86</v>
      </c>
    </row>
    <row r="494" spans="3:7" x14ac:dyDescent="0.3">
      <c r="C494" s="34" t="s">
        <v>261</v>
      </c>
      <c r="D494" s="35" t="s">
        <v>262</v>
      </c>
      <c r="E494" s="35">
        <v>0.43</v>
      </c>
      <c r="F494" s="35">
        <v>7.9391999999999996</v>
      </c>
      <c r="G494" s="36">
        <v>2.44</v>
      </c>
    </row>
    <row r="495" spans="3:7" x14ac:dyDescent="0.3">
      <c r="C495" s="34" t="s">
        <v>249</v>
      </c>
      <c r="D495" s="35" t="s">
        <v>247</v>
      </c>
      <c r="E495" s="35">
        <v>0.78</v>
      </c>
      <c r="F495" s="35">
        <v>19.33344</v>
      </c>
      <c r="G495" s="36">
        <v>3.31</v>
      </c>
    </row>
    <row r="496" spans="3:7" x14ac:dyDescent="0.3">
      <c r="C496" s="39"/>
      <c r="D496" s="37" t="s">
        <v>255</v>
      </c>
      <c r="E496" s="37">
        <v>1.87</v>
      </c>
      <c r="F496" s="37">
        <v>22.402799999999999</v>
      </c>
      <c r="G496" s="38">
        <v>1.6</v>
      </c>
    </row>
    <row r="497" spans="3:7" x14ac:dyDescent="0.3">
      <c r="C497" s="39"/>
      <c r="D497" s="35" t="s">
        <v>256</v>
      </c>
      <c r="E497" s="35">
        <v>0.76</v>
      </c>
      <c r="F497" s="35">
        <v>8.6943999999999999</v>
      </c>
      <c r="G497" s="36">
        <v>1.52</v>
      </c>
    </row>
    <row r="498" spans="3:7" x14ac:dyDescent="0.3">
      <c r="C498" s="42"/>
      <c r="D498" s="43" t="s">
        <v>257</v>
      </c>
      <c r="E498" s="43">
        <v>0.18</v>
      </c>
      <c r="F498" s="43">
        <v>6.0880000000000001</v>
      </c>
      <c r="G498" s="44">
        <v>4.42</v>
      </c>
    </row>
    <row r="502" spans="3:7" x14ac:dyDescent="0.3">
      <c r="C502" s="31" t="s">
        <v>263</v>
      </c>
      <c r="D502" s="32" t="s">
        <v>24</v>
      </c>
      <c r="E502" s="32" t="s">
        <v>10</v>
      </c>
      <c r="F502" s="32" t="s">
        <v>11</v>
      </c>
      <c r="G502" s="33" t="s">
        <v>25</v>
      </c>
    </row>
    <row r="503" spans="3:7" x14ac:dyDescent="0.3">
      <c r="C503" s="34" t="s">
        <v>264</v>
      </c>
      <c r="D503" s="35" t="s">
        <v>254</v>
      </c>
      <c r="E503" s="35">
        <v>1.69</v>
      </c>
      <c r="F503" s="35">
        <v>21.831</v>
      </c>
      <c r="G503" s="36">
        <v>1.72</v>
      </c>
    </row>
    <row r="504" spans="3:7" x14ac:dyDescent="0.3">
      <c r="C504" s="34" t="s">
        <v>265</v>
      </c>
      <c r="D504" s="35" t="s">
        <v>247</v>
      </c>
      <c r="E504" s="35">
        <v>0.78</v>
      </c>
      <c r="F504" s="35">
        <v>19.33344</v>
      </c>
      <c r="G504" s="36">
        <v>3.31</v>
      </c>
    </row>
    <row r="505" spans="3:7" x14ac:dyDescent="0.3">
      <c r="C505" s="34" t="s">
        <v>249</v>
      </c>
      <c r="D505" s="35" t="s">
        <v>266</v>
      </c>
      <c r="E505" s="35">
        <v>0.32</v>
      </c>
      <c r="F505" s="35">
        <v>4.5267600000000003</v>
      </c>
      <c r="G505" s="36">
        <v>1.9</v>
      </c>
    </row>
    <row r="506" spans="3:7" x14ac:dyDescent="0.3">
      <c r="C506" s="39"/>
      <c r="D506" s="37" t="s">
        <v>255</v>
      </c>
      <c r="E506" s="37">
        <v>5.6</v>
      </c>
      <c r="F506" s="37">
        <v>67.208399999999997</v>
      </c>
      <c r="G506" s="38">
        <v>1.6</v>
      </c>
    </row>
    <row r="507" spans="3:7" x14ac:dyDescent="0.3">
      <c r="C507" s="39"/>
      <c r="D507" s="35" t="s">
        <v>267</v>
      </c>
      <c r="E507" s="35">
        <v>0.25</v>
      </c>
      <c r="F507" s="35">
        <v>13</v>
      </c>
      <c r="G507" s="36">
        <v>6.91</v>
      </c>
    </row>
    <row r="508" spans="3:7" x14ac:dyDescent="0.3">
      <c r="C508" s="39"/>
      <c r="D508" s="35" t="s">
        <v>268</v>
      </c>
      <c r="E508" s="35">
        <v>0.77</v>
      </c>
      <c r="F508" s="35">
        <v>8</v>
      </c>
      <c r="G508" s="36">
        <v>1.38</v>
      </c>
    </row>
    <row r="509" spans="3:7" x14ac:dyDescent="0.3">
      <c r="C509" s="39"/>
      <c r="D509" s="35" t="s">
        <v>256</v>
      </c>
      <c r="E509" s="35">
        <v>1.93</v>
      </c>
      <c r="F509" s="35">
        <v>22.0077</v>
      </c>
      <c r="G509" s="36">
        <v>1.52</v>
      </c>
    </row>
    <row r="510" spans="3:7" x14ac:dyDescent="0.3">
      <c r="C510" s="39"/>
      <c r="D510" s="40" t="s">
        <v>269</v>
      </c>
      <c r="E510" s="40">
        <v>1.21</v>
      </c>
      <c r="F510" s="40">
        <v>3</v>
      </c>
      <c r="G510" s="41">
        <v>0.33</v>
      </c>
    </row>
    <row r="511" spans="3:7" x14ac:dyDescent="0.3">
      <c r="C511" s="42"/>
      <c r="D511" s="43" t="s">
        <v>257</v>
      </c>
      <c r="E511" s="43">
        <v>0.36</v>
      </c>
      <c r="F511" s="43">
        <v>11.871600000000001</v>
      </c>
      <c r="G511" s="44">
        <v>4.42</v>
      </c>
    </row>
    <row r="515" spans="3:7" x14ac:dyDescent="0.3">
      <c r="C515" s="31" t="s">
        <v>270</v>
      </c>
      <c r="D515" s="32" t="s">
        <v>24</v>
      </c>
      <c r="E515" s="32" t="s">
        <v>10</v>
      </c>
      <c r="F515" s="32" t="s">
        <v>11</v>
      </c>
      <c r="G515" s="33" t="s">
        <v>25</v>
      </c>
    </row>
    <row r="516" spans="3:7" x14ac:dyDescent="0.3">
      <c r="C516" s="34" t="s">
        <v>271</v>
      </c>
      <c r="D516" s="35" t="s">
        <v>247</v>
      </c>
      <c r="E516" s="35">
        <v>0.78</v>
      </c>
      <c r="F516" s="35">
        <v>19.33344</v>
      </c>
      <c r="G516" s="36">
        <v>3.31</v>
      </c>
    </row>
    <row r="517" spans="3:7" x14ac:dyDescent="0.3">
      <c r="C517" s="34" t="s">
        <v>272</v>
      </c>
      <c r="D517" s="37" t="s">
        <v>255</v>
      </c>
      <c r="E517" s="37">
        <v>5.6</v>
      </c>
      <c r="F517" s="37">
        <v>67.208399999999997</v>
      </c>
      <c r="G517" s="38">
        <v>1.6</v>
      </c>
    </row>
    <row r="518" spans="3:7" x14ac:dyDescent="0.3">
      <c r="C518" s="34" t="s">
        <v>249</v>
      </c>
      <c r="D518" s="35" t="s">
        <v>256</v>
      </c>
      <c r="E518" s="35">
        <v>1.93</v>
      </c>
      <c r="F518" s="35">
        <v>22.0077</v>
      </c>
      <c r="G518" s="36">
        <v>1.52</v>
      </c>
    </row>
    <row r="519" spans="3:7" x14ac:dyDescent="0.3">
      <c r="C519" s="42"/>
      <c r="D519" s="46" t="s">
        <v>257</v>
      </c>
      <c r="E519" s="46">
        <v>0.36</v>
      </c>
      <c r="F519" s="46">
        <v>11.871600000000001</v>
      </c>
      <c r="G519" s="47">
        <v>4.42</v>
      </c>
    </row>
    <row r="523" spans="3:7" x14ac:dyDescent="0.3">
      <c r="C523" s="31" t="s">
        <v>273</v>
      </c>
      <c r="D523" s="32" t="s">
        <v>24</v>
      </c>
      <c r="E523" s="32" t="s">
        <v>10</v>
      </c>
      <c r="F523" s="32" t="s">
        <v>11</v>
      </c>
      <c r="G523" s="33" t="s">
        <v>25</v>
      </c>
    </row>
    <row r="524" spans="3:7" x14ac:dyDescent="0.3">
      <c r="C524" s="34" t="s">
        <v>271</v>
      </c>
      <c r="D524" s="35" t="s">
        <v>247</v>
      </c>
      <c r="E524" s="35">
        <v>0.78</v>
      </c>
      <c r="F524" s="35">
        <v>19.33344</v>
      </c>
      <c r="G524" s="36">
        <v>3.31</v>
      </c>
    </row>
    <row r="525" spans="3:7" x14ac:dyDescent="0.3">
      <c r="C525" s="34" t="s">
        <v>272</v>
      </c>
      <c r="D525" s="37" t="s">
        <v>255</v>
      </c>
      <c r="E525" s="37">
        <v>5.6</v>
      </c>
      <c r="F525" s="37">
        <v>67.208399999999997</v>
      </c>
      <c r="G525" s="38">
        <v>1.6</v>
      </c>
    </row>
    <row r="526" spans="3:7" x14ac:dyDescent="0.3">
      <c r="C526" s="34" t="s">
        <v>249</v>
      </c>
      <c r="D526" s="35" t="s">
        <v>256</v>
      </c>
      <c r="E526" s="35">
        <v>1.93</v>
      </c>
      <c r="F526" s="35">
        <v>22.0077</v>
      </c>
      <c r="G526" s="36">
        <v>1.52</v>
      </c>
    </row>
    <row r="527" spans="3:7" x14ac:dyDescent="0.3">
      <c r="C527" s="42"/>
      <c r="D527" s="46" t="s">
        <v>257</v>
      </c>
      <c r="E527" s="46">
        <v>0.36</v>
      </c>
      <c r="F527" s="46">
        <v>11.871600000000001</v>
      </c>
      <c r="G527" s="47">
        <v>4.42</v>
      </c>
    </row>
    <row r="531" spans="3:7" x14ac:dyDescent="0.3">
      <c r="C531" s="31" t="s">
        <v>274</v>
      </c>
      <c r="D531" s="32" t="s">
        <v>24</v>
      </c>
      <c r="E531" s="32" t="s">
        <v>10</v>
      </c>
      <c r="F531" s="32" t="s">
        <v>11</v>
      </c>
      <c r="G531" s="33" t="s">
        <v>25</v>
      </c>
    </row>
    <row r="532" spans="3:7" x14ac:dyDescent="0.3">
      <c r="C532" s="34" t="s">
        <v>275</v>
      </c>
      <c r="D532" s="40" t="s">
        <v>276</v>
      </c>
      <c r="E532" s="40">
        <v>0.11</v>
      </c>
      <c r="F532" s="40">
        <v>2.0442200000000001</v>
      </c>
      <c r="G532" s="41">
        <v>2.4900000000000002</v>
      </c>
    </row>
    <row r="533" spans="3:7" x14ac:dyDescent="0.3">
      <c r="C533" s="34" t="s">
        <v>277</v>
      </c>
      <c r="D533" s="35" t="s">
        <v>252</v>
      </c>
      <c r="E533" s="35">
        <v>1.53</v>
      </c>
      <c r="F533" s="35">
        <v>54.119520000000001</v>
      </c>
      <c r="G533" s="36">
        <v>4.7300000000000004</v>
      </c>
    </row>
    <row r="534" spans="3:7" x14ac:dyDescent="0.3">
      <c r="C534" s="34" t="s">
        <v>249</v>
      </c>
      <c r="D534" s="35" t="s">
        <v>247</v>
      </c>
      <c r="E534" s="35">
        <v>0.78</v>
      </c>
      <c r="F534" s="35">
        <v>19.33344</v>
      </c>
      <c r="G534" s="36">
        <v>3.31</v>
      </c>
    </row>
    <row r="535" spans="3:7" x14ac:dyDescent="0.3">
      <c r="C535" s="39"/>
      <c r="D535" s="37" t="s">
        <v>255</v>
      </c>
      <c r="E535" s="37">
        <v>5.6</v>
      </c>
      <c r="F535" s="37">
        <v>67.208399999999997</v>
      </c>
      <c r="G535" s="38">
        <v>1.6</v>
      </c>
    </row>
    <row r="536" spans="3:7" x14ac:dyDescent="0.3">
      <c r="C536" s="39"/>
      <c r="D536" s="35" t="s">
        <v>256</v>
      </c>
      <c r="E536" s="35">
        <v>1.93</v>
      </c>
      <c r="F536" s="35">
        <v>22.0077</v>
      </c>
      <c r="G536" s="36">
        <v>1.52</v>
      </c>
    </row>
    <row r="537" spans="3:7" x14ac:dyDescent="0.3">
      <c r="C537" s="39"/>
      <c r="D537" s="35" t="s">
        <v>269</v>
      </c>
      <c r="E537" s="35">
        <v>1.21</v>
      </c>
      <c r="F537" s="35">
        <v>3</v>
      </c>
      <c r="G537" s="36">
        <v>0.33</v>
      </c>
    </row>
    <row r="538" spans="3:7" x14ac:dyDescent="0.3">
      <c r="C538" s="42"/>
      <c r="D538" s="43" t="s">
        <v>257</v>
      </c>
      <c r="E538" s="43">
        <v>0.36</v>
      </c>
      <c r="F538" s="43">
        <v>11.871600000000001</v>
      </c>
      <c r="G538" s="44">
        <v>4.42</v>
      </c>
    </row>
    <row r="542" spans="3:7" x14ac:dyDescent="0.3">
      <c r="C542" s="31" t="s">
        <v>278</v>
      </c>
      <c r="D542" s="32" t="s">
        <v>24</v>
      </c>
      <c r="E542" s="32" t="s">
        <v>10</v>
      </c>
      <c r="F542" s="32" t="s">
        <v>11</v>
      </c>
      <c r="G542" s="33" t="s">
        <v>25</v>
      </c>
    </row>
    <row r="543" spans="3:7" x14ac:dyDescent="0.3">
      <c r="C543" s="34" t="s">
        <v>279</v>
      </c>
      <c r="D543" s="35" t="s">
        <v>280</v>
      </c>
      <c r="E543" s="35">
        <v>0.43</v>
      </c>
      <c r="F543" s="35">
        <v>5</v>
      </c>
      <c r="G543" s="36">
        <v>1.54</v>
      </c>
    </row>
    <row r="544" spans="3:7" x14ac:dyDescent="0.3">
      <c r="C544" s="34" t="s">
        <v>281</v>
      </c>
      <c r="D544" s="40" t="s">
        <v>260</v>
      </c>
      <c r="E544" s="40">
        <v>0.62</v>
      </c>
      <c r="F544" s="40">
        <v>4</v>
      </c>
      <c r="G544" s="41">
        <v>0.86</v>
      </c>
    </row>
    <row r="545" spans="3:7" x14ac:dyDescent="0.3">
      <c r="C545" s="45" t="s">
        <v>249</v>
      </c>
      <c r="D545" s="48" t="s">
        <v>254</v>
      </c>
      <c r="E545" s="48">
        <v>1.69</v>
      </c>
      <c r="F545" s="48">
        <v>21.831</v>
      </c>
      <c r="G545" s="49">
        <v>1.72</v>
      </c>
    </row>
    <row r="549" spans="3:7" x14ac:dyDescent="0.3">
      <c r="C549" s="31" t="s">
        <v>282</v>
      </c>
      <c r="D549" s="32" t="s">
        <v>24</v>
      </c>
      <c r="E549" s="32" t="s">
        <v>10</v>
      </c>
      <c r="F549" s="32" t="s">
        <v>11</v>
      </c>
      <c r="G549" s="33" t="s">
        <v>25</v>
      </c>
    </row>
    <row r="550" spans="3:7" x14ac:dyDescent="0.3">
      <c r="C550" s="34" t="s">
        <v>283</v>
      </c>
      <c r="D550" s="37" t="s">
        <v>247</v>
      </c>
      <c r="E550" s="37">
        <v>0.78</v>
      </c>
      <c r="F550" s="37">
        <v>19.33344</v>
      </c>
      <c r="G550" s="38">
        <v>3.31</v>
      </c>
    </row>
    <row r="551" spans="3:7" x14ac:dyDescent="0.3">
      <c r="C551" s="34" t="s">
        <v>284</v>
      </c>
      <c r="D551" s="40" t="s">
        <v>266</v>
      </c>
      <c r="E551" s="40">
        <v>0.32</v>
      </c>
      <c r="F551" s="40">
        <v>4.5267600000000003</v>
      </c>
      <c r="G551" s="41">
        <v>1.9</v>
      </c>
    </row>
    <row r="552" spans="3:7" x14ac:dyDescent="0.3">
      <c r="C552" s="45" t="s">
        <v>249</v>
      </c>
      <c r="D552" s="43"/>
      <c r="E552" s="43"/>
      <c r="F552" s="43"/>
      <c r="G552" s="44"/>
    </row>
    <row r="556" spans="3:7" x14ac:dyDescent="0.3">
      <c r="C556" s="31" t="s">
        <v>285</v>
      </c>
      <c r="D556" s="32" t="s">
        <v>24</v>
      </c>
      <c r="E556" s="32" t="s">
        <v>10</v>
      </c>
      <c r="F556" s="32" t="s">
        <v>11</v>
      </c>
      <c r="G556" s="33" t="s">
        <v>25</v>
      </c>
    </row>
    <row r="557" spans="3:7" x14ac:dyDescent="0.3">
      <c r="C557" s="34" t="s">
        <v>286</v>
      </c>
      <c r="D557" s="35" t="s">
        <v>262</v>
      </c>
      <c r="E557" s="35">
        <v>0.43</v>
      </c>
      <c r="F557" s="35">
        <v>7.9391999999999996</v>
      </c>
      <c r="G557" s="36">
        <v>2.44</v>
      </c>
    </row>
    <row r="558" spans="3:7" x14ac:dyDescent="0.3">
      <c r="C558" s="34" t="s">
        <v>287</v>
      </c>
      <c r="D558" s="37" t="s">
        <v>247</v>
      </c>
      <c r="E558" s="37">
        <v>0.78</v>
      </c>
      <c r="F558" s="37">
        <v>19.33344</v>
      </c>
      <c r="G558" s="38">
        <v>3.31</v>
      </c>
    </row>
    <row r="559" spans="3:7" x14ac:dyDescent="0.3">
      <c r="C559" s="45" t="s">
        <v>249</v>
      </c>
      <c r="D559" s="46" t="s">
        <v>269</v>
      </c>
      <c r="E559" s="46">
        <v>1.21</v>
      </c>
      <c r="F559" s="46">
        <v>3</v>
      </c>
      <c r="G559" s="47">
        <v>0.33</v>
      </c>
    </row>
    <row r="563" spans="3:7" x14ac:dyDescent="0.3">
      <c r="C563" s="31" t="s">
        <v>288</v>
      </c>
      <c r="D563" s="32" t="s">
        <v>24</v>
      </c>
      <c r="E563" s="32" t="s">
        <v>10</v>
      </c>
      <c r="F563" s="32" t="s">
        <v>11</v>
      </c>
      <c r="G563" s="33" t="s">
        <v>25</v>
      </c>
    </row>
    <row r="564" spans="3:7" x14ac:dyDescent="0.3">
      <c r="C564" s="34" t="s">
        <v>289</v>
      </c>
      <c r="D564" s="35" t="s">
        <v>290</v>
      </c>
      <c r="E564" s="35">
        <v>0.05</v>
      </c>
      <c r="F564" s="35">
        <v>1.7623599999999999</v>
      </c>
      <c r="G564" s="36">
        <v>4.8600000000000003</v>
      </c>
    </row>
    <row r="565" spans="3:7" x14ac:dyDescent="0.3">
      <c r="C565" s="34" t="s">
        <v>291</v>
      </c>
      <c r="D565" s="35" t="s">
        <v>292</v>
      </c>
      <c r="E565" s="35">
        <v>0.05</v>
      </c>
      <c r="F565" s="35">
        <v>1.83</v>
      </c>
      <c r="G565" s="36">
        <v>4.8600000000000003</v>
      </c>
    </row>
    <row r="566" spans="3:7" x14ac:dyDescent="0.3">
      <c r="C566" s="34" t="s">
        <v>293</v>
      </c>
      <c r="D566" s="35" t="s">
        <v>294</v>
      </c>
      <c r="E566" s="35">
        <v>0.13</v>
      </c>
      <c r="F566" s="35">
        <v>4.7526999999999999</v>
      </c>
      <c r="G566" s="36">
        <v>4.8600000000000003</v>
      </c>
    </row>
    <row r="567" spans="3:7" x14ac:dyDescent="0.3">
      <c r="C567" s="39"/>
      <c r="D567" s="35" t="s">
        <v>295</v>
      </c>
      <c r="E567" s="35">
        <v>0.06</v>
      </c>
      <c r="F567" s="35">
        <v>2.1941999999999999</v>
      </c>
      <c r="G567" s="36">
        <v>4.8600000000000003</v>
      </c>
    </row>
    <row r="568" spans="3:7" x14ac:dyDescent="0.3">
      <c r="C568" s="39"/>
      <c r="D568" s="35" t="s">
        <v>296</v>
      </c>
      <c r="E568" s="35">
        <v>0</v>
      </c>
      <c r="F568" s="35">
        <v>0.12180000000000001</v>
      </c>
      <c r="G568" s="36">
        <v>4.8600000000000003</v>
      </c>
    </row>
    <row r="569" spans="3:7" x14ac:dyDescent="0.3">
      <c r="C569" s="39"/>
      <c r="D569" s="37" t="s">
        <v>297</v>
      </c>
      <c r="E569" s="37">
        <v>0.28000000000000003</v>
      </c>
      <c r="F569" s="37">
        <v>10.086</v>
      </c>
      <c r="G569" s="38">
        <v>4.8600000000000003</v>
      </c>
    </row>
    <row r="570" spans="3:7" x14ac:dyDescent="0.3">
      <c r="C570" s="39"/>
      <c r="D570" s="35" t="s">
        <v>298</v>
      </c>
      <c r="E570" s="35">
        <v>0.28000000000000003</v>
      </c>
      <c r="F570" s="35">
        <v>10.032</v>
      </c>
      <c r="G570" s="36">
        <v>4.8600000000000003</v>
      </c>
    </row>
    <row r="571" spans="3:7" x14ac:dyDescent="0.3">
      <c r="C571" s="39"/>
      <c r="D571" s="35" t="s">
        <v>299</v>
      </c>
      <c r="E571" s="35">
        <v>0.17</v>
      </c>
      <c r="F571" s="35">
        <v>6.2549999999999999</v>
      </c>
      <c r="G571" s="36">
        <v>4.8600000000000003</v>
      </c>
    </row>
    <row r="572" spans="3:7" x14ac:dyDescent="0.3">
      <c r="C572" s="39"/>
      <c r="D572" s="40" t="s">
        <v>300</v>
      </c>
      <c r="E572" s="40">
        <v>0</v>
      </c>
      <c r="F572" s="40">
        <v>5.6489999999999999E-2</v>
      </c>
      <c r="G572" s="41">
        <v>4.8600000000000003</v>
      </c>
    </row>
    <row r="573" spans="3:7" x14ac:dyDescent="0.3">
      <c r="C573" s="39"/>
      <c r="D573" s="35" t="s">
        <v>301</v>
      </c>
      <c r="E573" s="35">
        <v>0</v>
      </c>
      <c r="F573" s="35">
        <v>0.107</v>
      </c>
      <c r="G573" s="36">
        <v>4.8600000000000003</v>
      </c>
    </row>
    <row r="574" spans="3:7" x14ac:dyDescent="0.3">
      <c r="C574" s="39"/>
      <c r="D574" s="35" t="s">
        <v>302</v>
      </c>
      <c r="E574" s="35">
        <v>0.01</v>
      </c>
      <c r="F574" s="35">
        <v>0.52497000000000005</v>
      </c>
      <c r="G574" s="36">
        <v>4.8600000000000003</v>
      </c>
    </row>
    <row r="575" spans="3:7" x14ac:dyDescent="0.3">
      <c r="C575" s="42"/>
      <c r="D575" s="43" t="s">
        <v>303</v>
      </c>
      <c r="E575" s="43">
        <v>0.01</v>
      </c>
      <c r="F575" s="43">
        <v>0.45189000000000001</v>
      </c>
      <c r="G575" s="44">
        <v>4.8600000000000003</v>
      </c>
    </row>
    <row r="579" spans="3:7" x14ac:dyDescent="0.3">
      <c r="C579" s="31" t="s">
        <v>304</v>
      </c>
      <c r="D579" s="32" t="s">
        <v>24</v>
      </c>
      <c r="E579" s="32" t="s">
        <v>10</v>
      </c>
      <c r="F579" s="32" t="s">
        <v>11</v>
      </c>
      <c r="G579" s="33" t="s">
        <v>25</v>
      </c>
    </row>
    <row r="580" spans="3:7" x14ac:dyDescent="0.3">
      <c r="C580" s="34" t="s">
        <v>305</v>
      </c>
      <c r="D580" s="40" t="s">
        <v>306</v>
      </c>
      <c r="E580" s="40">
        <v>0</v>
      </c>
      <c r="F580" s="40">
        <v>7.7340000000000006E-2</v>
      </c>
      <c r="G580" s="41">
        <v>4.8600000000000003</v>
      </c>
    </row>
    <row r="581" spans="3:7" x14ac:dyDescent="0.3">
      <c r="C581" s="34" t="s">
        <v>181</v>
      </c>
      <c r="D581" s="37" t="s">
        <v>307</v>
      </c>
      <c r="E581" s="37">
        <v>0.01</v>
      </c>
      <c r="F581" s="37">
        <v>0.49983</v>
      </c>
      <c r="G581" s="38">
        <v>4.8600000000000003</v>
      </c>
    </row>
    <row r="582" spans="3:7" x14ac:dyDescent="0.3">
      <c r="C582" s="45" t="s">
        <v>293</v>
      </c>
      <c r="D582" s="43"/>
      <c r="E582" s="43"/>
      <c r="F582" s="43"/>
      <c r="G582" s="44"/>
    </row>
    <row r="586" spans="3:7" x14ac:dyDescent="0.3">
      <c r="C586" s="31" t="s">
        <v>308</v>
      </c>
      <c r="D586" s="32" t="s">
        <v>24</v>
      </c>
      <c r="E586" s="32" t="s">
        <v>10</v>
      </c>
      <c r="F586" s="32" t="s">
        <v>11</v>
      </c>
      <c r="G586" s="33" t="s">
        <v>25</v>
      </c>
    </row>
    <row r="587" spans="3:7" x14ac:dyDescent="0.3">
      <c r="C587" s="34" t="s">
        <v>305</v>
      </c>
      <c r="D587" s="37" t="s">
        <v>309</v>
      </c>
      <c r="E587" s="37">
        <v>0.01</v>
      </c>
      <c r="F587" s="37">
        <v>0.53647999999999996</v>
      </c>
      <c r="G587" s="38">
        <v>4.8600000000000003</v>
      </c>
    </row>
    <row r="588" spans="3:7" x14ac:dyDescent="0.3">
      <c r="C588" s="34" t="s">
        <v>181</v>
      </c>
      <c r="D588" s="40" t="s">
        <v>310</v>
      </c>
      <c r="E588" s="40">
        <v>0</v>
      </c>
      <c r="F588" s="40">
        <v>4.795E-2</v>
      </c>
      <c r="G588" s="41">
        <v>4.8600000000000003</v>
      </c>
    </row>
    <row r="589" spans="3:7" x14ac:dyDescent="0.3">
      <c r="C589" s="45" t="s">
        <v>293</v>
      </c>
      <c r="D589" s="43"/>
      <c r="E589" s="43"/>
      <c r="F589" s="43"/>
      <c r="G589" s="44"/>
    </row>
    <row r="593" spans="3:7" x14ac:dyDescent="0.3">
      <c r="C593" s="31" t="s">
        <v>311</v>
      </c>
      <c r="D593" s="32" t="s">
        <v>24</v>
      </c>
      <c r="E593" s="32" t="s">
        <v>10</v>
      </c>
      <c r="F593" s="32" t="s">
        <v>11</v>
      </c>
      <c r="G593" s="33" t="s">
        <v>25</v>
      </c>
    </row>
    <row r="594" spans="3:7" x14ac:dyDescent="0.3">
      <c r="C594" s="34" t="s">
        <v>312</v>
      </c>
      <c r="D594" s="37" t="s">
        <v>313</v>
      </c>
      <c r="E594" s="37">
        <v>0.01</v>
      </c>
      <c r="F594" s="37">
        <v>0.45700000000000002</v>
      </c>
      <c r="G594" s="38">
        <v>4.8600000000000003</v>
      </c>
    </row>
    <row r="595" spans="3:7" x14ac:dyDescent="0.3">
      <c r="C595" s="34" t="s">
        <v>181</v>
      </c>
      <c r="D595" s="35"/>
      <c r="E595" s="35"/>
      <c r="F595" s="35"/>
      <c r="G595" s="36"/>
    </row>
    <row r="596" spans="3:7" x14ac:dyDescent="0.3">
      <c r="C596" s="45" t="s">
        <v>293</v>
      </c>
      <c r="D596" s="43"/>
      <c r="E596" s="43"/>
      <c r="F596" s="43"/>
      <c r="G596" s="44"/>
    </row>
    <row r="600" spans="3:7" x14ac:dyDescent="0.3">
      <c r="C600" s="31" t="s">
        <v>314</v>
      </c>
      <c r="D600" s="32" t="s">
        <v>24</v>
      </c>
      <c r="E600" s="32" t="s">
        <v>10</v>
      </c>
      <c r="F600" s="32" t="s">
        <v>11</v>
      </c>
      <c r="G600" s="33" t="s">
        <v>25</v>
      </c>
    </row>
    <row r="601" spans="3:7" x14ac:dyDescent="0.3">
      <c r="C601" s="34" t="s">
        <v>315</v>
      </c>
      <c r="D601" s="35" t="s">
        <v>316</v>
      </c>
      <c r="E601" s="35">
        <v>0.05</v>
      </c>
      <c r="F601" s="35">
        <v>10.081</v>
      </c>
      <c r="G601" s="36">
        <v>25.73</v>
      </c>
    </row>
    <row r="602" spans="3:7" x14ac:dyDescent="0.3">
      <c r="C602" s="34" t="s">
        <v>317</v>
      </c>
      <c r="D602" s="35" t="s">
        <v>318</v>
      </c>
      <c r="E602" s="35">
        <v>0.11</v>
      </c>
      <c r="F602" s="35">
        <v>16.777000000000001</v>
      </c>
      <c r="G602" s="36">
        <v>21.25</v>
      </c>
    </row>
    <row r="603" spans="3:7" x14ac:dyDescent="0.3">
      <c r="C603" s="34" t="s">
        <v>319</v>
      </c>
      <c r="D603" s="35" t="s">
        <v>318</v>
      </c>
      <c r="E603" s="35">
        <v>0.08</v>
      </c>
      <c r="F603" s="35">
        <v>12.24</v>
      </c>
      <c r="G603" s="36">
        <v>21.25</v>
      </c>
    </row>
    <row r="604" spans="3:7" x14ac:dyDescent="0.3">
      <c r="C604" s="39"/>
      <c r="D604" s="35" t="s">
        <v>320</v>
      </c>
      <c r="E604" s="35">
        <v>0.6</v>
      </c>
      <c r="F604" s="35">
        <v>65.731999999999999</v>
      </c>
      <c r="G604" s="36">
        <v>14.51</v>
      </c>
    </row>
    <row r="605" spans="3:7" x14ac:dyDescent="0.3">
      <c r="C605" s="39"/>
      <c r="D605" s="35" t="s">
        <v>320</v>
      </c>
      <c r="E605" s="35">
        <v>0.33</v>
      </c>
      <c r="F605" s="35">
        <v>35.54</v>
      </c>
      <c r="G605" s="36">
        <v>14.51</v>
      </c>
    </row>
    <row r="606" spans="3:7" x14ac:dyDescent="0.3">
      <c r="C606" s="39"/>
      <c r="D606" s="35" t="s">
        <v>320</v>
      </c>
      <c r="E606" s="35">
        <v>0.82</v>
      </c>
      <c r="F606" s="35">
        <v>88.85</v>
      </c>
      <c r="G606" s="36">
        <v>14.51</v>
      </c>
    </row>
    <row r="607" spans="3:7" x14ac:dyDescent="0.3">
      <c r="C607" s="39"/>
      <c r="D607" s="35" t="s">
        <v>321</v>
      </c>
      <c r="E607" s="35">
        <v>0.15</v>
      </c>
      <c r="F607" s="35">
        <v>14.93</v>
      </c>
      <c r="G607" s="36">
        <v>12.87</v>
      </c>
    </row>
    <row r="608" spans="3:7" x14ac:dyDescent="0.3">
      <c r="C608" s="39"/>
      <c r="D608" s="35" t="s">
        <v>322</v>
      </c>
      <c r="E608" s="35">
        <v>0.11</v>
      </c>
      <c r="F608" s="35">
        <v>22.539000000000001</v>
      </c>
      <c r="G608" s="36">
        <v>28.11</v>
      </c>
    </row>
    <row r="609" spans="3:7" x14ac:dyDescent="0.3">
      <c r="C609" s="39"/>
      <c r="D609" s="35" t="s">
        <v>320</v>
      </c>
      <c r="E609" s="35">
        <v>0.15</v>
      </c>
      <c r="F609" s="35">
        <v>16.433</v>
      </c>
      <c r="G609" s="36">
        <v>14.51</v>
      </c>
    </row>
    <row r="610" spans="3:7" x14ac:dyDescent="0.3">
      <c r="C610" s="39"/>
      <c r="D610" s="35" t="s">
        <v>323</v>
      </c>
      <c r="E610" s="35">
        <v>0.17</v>
      </c>
      <c r="F610" s="35">
        <v>29.885999999999999</v>
      </c>
      <c r="G610" s="36">
        <v>23.98</v>
      </c>
    </row>
    <row r="611" spans="3:7" x14ac:dyDescent="0.3">
      <c r="C611" s="39"/>
      <c r="D611" s="35" t="s">
        <v>316</v>
      </c>
      <c r="E611" s="35">
        <v>0.06</v>
      </c>
      <c r="F611" s="35">
        <v>11.85</v>
      </c>
      <c r="G611" s="36">
        <v>25.73</v>
      </c>
    </row>
    <row r="612" spans="3:7" x14ac:dyDescent="0.3">
      <c r="C612" s="39"/>
      <c r="D612" s="35" t="s">
        <v>324</v>
      </c>
      <c r="E612" s="35">
        <v>0.02</v>
      </c>
      <c r="F612" s="35">
        <v>3.09</v>
      </c>
      <c r="G612" s="36">
        <v>19.32</v>
      </c>
    </row>
    <row r="613" spans="3:7" x14ac:dyDescent="0.3">
      <c r="C613" s="39"/>
      <c r="D613" s="35" t="s">
        <v>325</v>
      </c>
      <c r="E613" s="35">
        <v>0.14000000000000001</v>
      </c>
      <c r="F613" s="35">
        <v>25</v>
      </c>
      <c r="G613" s="36">
        <v>23.2</v>
      </c>
    </row>
    <row r="614" spans="3:7" x14ac:dyDescent="0.3">
      <c r="C614" s="39"/>
      <c r="D614" s="35" t="s">
        <v>326</v>
      </c>
      <c r="E614" s="35">
        <v>0.03</v>
      </c>
      <c r="F614" s="35">
        <v>4.5599999999999996</v>
      </c>
      <c r="G614" s="36">
        <v>18.25</v>
      </c>
    </row>
    <row r="615" spans="3:7" x14ac:dyDescent="0.3">
      <c r="C615" s="39"/>
      <c r="D615" s="35" t="s">
        <v>327</v>
      </c>
      <c r="E615" s="35">
        <v>0.04</v>
      </c>
      <c r="F615" s="35">
        <v>5.0919999999999996</v>
      </c>
      <c r="G615" s="36">
        <v>18.25</v>
      </c>
    </row>
    <row r="616" spans="3:7" x14ac:dyDescent="0.3">
      <c r="C616" s="39"/>
      <c r="D616" s="35" t="s">
        <v>328</v>
      </c>
      <c r="E616" s="35">
        <v>0.02</v>
      </c>
      <c r="F616" s="35">
        <v>2.7050000000000001</v>
      </c>
      <c r="G616" s="36">
        <v>18.38</v>
      </c>
    </row>
    <row r="617" spans="3:7" x14ac:dyDescent="0.3">
      <c r="C617" s="39"/>
      <c r="D617" s="35" t="s">
        <v>329</v>
      </c>
      <c r="E617" s="35">
        <v>0.03</v>
      </c>
      <c r="F617" s="35">
        <v>3.62</v>
      </c>
      <c r="G617" s="36">
        <v>16.45</v>
      </c>
    </row>
    <row r="618" spans="3:7" x14ac:dyDescent="0.3">
      <c r="C618" s="39"/>
      <c r="D618" s="35" t="s">
        <v>330</v>
      </c>
      <c r="E618" s="35">
        <v>0.5</v>
      </c>
      <c r="F618" s="35">
        <v>68.98</v>
      </c>
      <c r="G618" s="36">
        <v>18.25</v>
      </c>
    </row>
    <row r="619" spans="3:7" x14ac:dyDescent="0.3">
      <c r="C619" s="39"/>
      <c r="D619" s="35" t="s">
        <v>326</v>
      </c>
      <c r="E619" s="35">
        <v>0.25</v>
      </c>
      <c r="F619" s="35">
        <v>34.155000000000001</v>
      </c>
      <c r="G619" s="36">
        <v>18.25</v>
      </c>
    </row>
    <row r="620" spans="3:7" x14ac:dyDescent="0.3">
      <c r="C620" s="39"/>
      <c r="D620" s="37" t="s">
        <v>331</v>
      </c>
      <c r="E620" s="37">
        <v>0.61</v>
      </c>
      <c r="F620" s="37">
        <v>118.515</v>
      </c>
      <c r="G620" s="38">
        <v>25.75</v>
      </c>
    </row>
    <row r="621" spans="3:7" x14ac:dyDescent="0.3">
      <c r="C621" s="39"/>
      <c r="D621" s="35" t="s">
        <v>332</v>
      </c>
      <c r="E621" s="35">
        <v>0.1</v>
      </c>
      <c r="F621" s="35">
        <v>13.94</v>
      </c>
      <c r="G621" s="36">
        <v>19.309999999999999</v>
      </c>
    </row>
    <row r="622" spans="3:7" x14ac:dyDescent="0.3">
      <c r="C622" s="39"/>
      <c r="D622" s="35" t="s">
        <v>333</v>
      </c>
      <c r="E622" s="35">
        <v>0.01</v>
      </c>
      <c r="F622" s="35">
        <v>1.38</v>
      </c>
      <c r="G622" s="36">
        <v>18.25</v>
      </c>
    </row>
    <row r="623" spans="3:7" x14ac:dyDescent="0.3">
      <c r="C623" s="39"/>
      <c r="D623" s="35" t="s">
        <v>334</v>
      </c>
      <c r="E623" s="35">
        <v>0.25</v>
      </c>
      <c r="F623" s="35">
        <v>34.243000000000002</v>
      </c>
      <c r="G623" s="36">
        <v>18.25</v>
      </c>
    </row>
    <row r="624" spans="3:7" x14ac:dyDescent="0.3">
      <c r="C624" s="39"/>
      <c r="D624" s="35" t="s">
        <v>335</v>
      </c>
      <c r="E624" s="35">
        <v>0.01</v>
      </c>
      <c r="F624" s="35">
        <v>1</v>
      </c>
      <c r="G624" s="36">
        <v>18.25</v>
      </c>
    </row>
    <row r="625" spans="3:7" x14ac:dyDescent="0.3">
      <c r="C625" s="39"/>
      <c r="D625" s="35" t="s">
        <v>336</v>
      </c>
      <c r="E625" s="35">
        <v>0.02</v>
      </c>
      <c r="F625" s="35">
        <v>2.5259999999999998</v>
      </c>
      <c r="G625" s="36">
        <v>18.25</v>
      </c>
    </row>
    <row r="626" spans="3:7" x14ac:dyDescent="0.3">
      <c r="C626" s="39"/>
      <c r="D626" s="35" t="s">
        <v>324</v>
      </c>
      <c r="E626" s="35">
        <v>0.14000000000000001</v>
      </c>
      <c r="F626" s="35">
        <v>20</v>
      </c>
      <c r="G626" s="36">
        <v>19.32</v>
      </c>
    </row>
    <row r="627" spans="3:7" x14ac:dyDescent="0.3">
      <c r="C627" s="39"/>
      <c r="D627" s="35" t="s">
        <v>337</v>
      </c>
      <c r="E627" s="35">
        <v>0.1</v>
      </c>
      <c r="F627" s="35">
        <v>13.27</v>
      </c>
      <c r="G627" s="36">
        <v>18.25</v>
      </c>
    </row>
    <row r="628" spans="3:7" x14ac:dyDescent="0.3">
      <c r="C628" s="39"/>
      <c r="D628" s="35" t="s">
        <v>338</v>
      </c>
      <c r="E628" s="35">
        <v>0.03</v>
      </c>
      <c r="F628" s="35">
        <v>7.2279999999999998</v>
      </c>
      <c r="G628" s="36">
        <v>28.98</v>
      </c>
    </row>
    <row r="629" spans="3:7" x14ac:dyDescent="0.3">
      <c r="C629" s="39"/>
      <c r="D629" s="35" t="s">
        <v>339</v>
      </c>
      <c r="E629" s="35">
        <v>0.01</v>
      </c>
      <c r="F629" s="35">
        <v>2</v>
      </c>
      <c r="G629" s="36">
        <v>18.25</v>
      </c>
    </row>
    <row r="630" spans="3:7" x14ac:dyDescent="0.3">
      <c r="C630" s="39"/>
      <c r="D630" s="35" t="s">
        <v>340</v>
      </c>
      <c r="E630" s="35">
        <v>0.09</v>
      </c>
      <c r="F630" s="35">
        <v>11.7</v>
      </c>
      <c r="G630" s="36">
        <v>18.25</v>
      </c>
    </row>
    <row r="631" spans="3:7" x14ac:dyDescent="0.3">
      <c r="C631" s="39"/>
      <c r="D631" s="35" t="s">
        <v>336</v>
      </c>
      <c r="E631" s="35">
        <v>0.03</v>
      </c>
      <c r="F631" s="35">
        <v>4</v>
      </c>
      <c r="G631" s="36">
        <v>18.25</v>
      </c>
    </row>
    <row r="632" spans="3:7" x14ac:dyDescent="0.3">
      <c r="C632" s="39"/>
      <c r="D632" s="35" t="s">
        <v>341</v>
      </c>
      <c r="E632" s="35">
        <v>0.1</v>
      </c>
      <c r="F632" s="35">
        <v>14.1</v>
      </c>
      <c r="G632" s="36">
        <v>18.25</v>
      </c>
    </row>
    <row r="633" spans="3:7" x14ac:dyDescent="0.3">
      <c r="C633" s="39"/>
      <c r="D633" s="35" t="s">
        <v>342</v>
      </c>
      <c r="E633" s="35">
        <v>0.05</v>
      </c>
      <c r="F633" s="35">
        <v>7.1779999999999999</v>
      </c>
      <c r="G633" s="36">
        <v>18.25</v>
      </c>
    </row>
    <row r="634" spans="3:7" x14ac:dyDescent="0.3">
      <c r="C634" s="39"/>
      <c r="D634" s="35" t="s">
        <v>343</v>
      </c>
      <c r="E634" s="35">
        <v>0.08</v>
      </c>
      <c r="F634" s="35">
        <v>13.41</v>
      </c>
      <c r="G634" s="36">
        <v>23.2</v>
      </c>
    </row>
    <row r="635" spans="3:7" x14ac:dyDescent="0.3">
      <c r="C635" s="39"/>
      <c r="D635" s="35" t="s">
        <v>344</v>
      </c>
      <c r="E635" s="35">
        <v>1</v>
      </c>
      <c r="F635" s="35">
        <v>100</v>
      </c>
      <c r="G635" s="36">
        <v>13.39</v>
      </c>
    </row>
    <row r="636" spans="3:7" x14ac:dyDescent="0.3">
      <c r="C636" s="39"/>
      <c r="D636" s="35" t="s">
        <v>328</v>
      </c>
      <c r="E636" s="35">
        <v>0.36</v>
      </c>
      <c r="F636" s="35">
        <v>50</v>
      </c>
      <c r="G636" s="36">
        <v>18.38</v>
      </c>
    </row>
    <row r="637" spans="3:7" x14ac:dyDescent="0.3">
      <c r="C637" s="39"/>
      <c r="D637" s="35" t="s">
        <v>345</v>
      </c>
      <c r="E637" s="35">
        <v>0.17</v>
      </c>
      <c r="F637" s="35">
        <v>20.373999999999999</v>
      </c>
      <c r="G637" s="36">
        <v>15.67</v>
      </c>
    </row>
    <row r="638" spans="3:7" x14ac:dyDescent="0.3">
      <c r="C638" s="39"/>
      <c r="D638" s="35" t="s">
        <v>346</v>
      </c>
      <c r="E638" s="35">
        <v>0.15</v>
      </c>
      <c r="F638" s="35">
        <v>24.914999999999999</v>
      </c>
      <c r="G638" s="36">
        <v>22.41</v>
      </c>
    </row>
    <row r="639" spans="3:7" x14ac:dyDescent="0.3">
      <c r="C639" s="39"/>
      <c r="D639" s="35" t="s">
        <v>347</v>
      </c>
      <c r="E639" s="35">
        <v>0.03</v>
      </c>
      <c r="F639" s="35">
        <v>7.1349999999999998</v>
      </c>
      <c r="G639" s="36">
        <v>30.78</v>
      </c>
    </row>
    <row r="640" spans="3:7" x14ac:dyDescent="0.3">
      <c r="C640" s="39"/>
      <c r="D640" s="35" t="s">
        <v>348</v>
      </c>
      <c r="E640" s="35">
        <v>0.13</v>
      </c>
      <c r="F640" s="35">
        <v>24.61</v>
      </c>
      <c r="G640" s="36">
        <v>24.88</v>
      </c>
    </row>
    <row r="641" spans="3:7" x14ac:dyDescent="0.3">
      <c r="C641" s="39"/>
      <c r="D641" s="35" t="s">
        <v>349</v>
      </c>
      <c r="E641" s="35">
        <v>0.12</v>
      </c>
      <c r="F641" s="35">
        <v>22.274999999999999</v>
      </c>
      <c r="G641" s="36">
        <v>24.13</v>
      </c>
    </row>
    <row r="642" spans="3:7" x14ac:dyDescent="0.3">
      <c r="C642" s="39"/>
      <c r="D642" s="35" t="s">
        <v>350</v>
      </c>
      <c r="E642" s="35">
        <v>0.04</v>
      </c>
      <c r="F642" s="35">
        <v>5.7450000000000001</v>
      </c>
      <c r="G642" s="36">
        <v>18.739999999999998</v>
      </c>
    </row>
    <row r="643" spans="3:7" x14ac:dyDescent="0.3">
      <c r="C643" s="39"/>
      <c r="D643" s="35" t="s">
        <v>351</v>
      </c>
      <c r="E643" s="35">
        <v>0.13</v>
      </c>
      <c r="F643" s="35">
        <v>8.6519999999999992</v>
      </c>
      <c r="G643" s="36">
        <v>8.67</v>
      </c>
    </row>
    <row r="644" spans="3:7" x14ac:dyDescent="0.3">
      <c r="C644" s="39"/>
      <c r="D644" s="35" t="s">
        <v>352</v>
      </c>
      <c r="E644" s="35">
        <v>0.04</v>
      </c>
      <c r="F644" s="35">
        <v>4.45</v>
      </c>
      <c r="G644" s="36">
        <v>13.92</v>
      </c>
    </row>
    <row r="645" spans="3:7" x14ac:dyDescent="0.3">
      <c r="C645" s="39"/>
      <c r="D645" s="40" t="s">
        <v>353</v>
      </c>
      <c r="E645" s="40">
        <v>0.01</v>
      </c>
      <c r="F645" s="40">
        <v>0.85499999999999998</v>
      </c>
      <c r="G645" s="41">
        <v>11.47</v>
      </c>
    </row>
    <row r="646" spans="3:7" x14ac:dyDescent="0.3">
      <c r="C646" s="42"/>
      <c r="D646" s="43" t="s">
        <v>354</v>
      </c>
      <c r="E646" s="43">
        <v>0.17</v>
      </c>
      <c r="F646" s="43">
        <v>18.645</v>
      </c>
      <c r="G646" s="44">
        <v>14.78</v>
      </c>
    </row>
    <row r="650" spans="3:7" x14ac:dyDescent="0.3">
      <c r="C650" s="31" t="s">
        <v>355</v>
      </c>
      <c r="D650" s="32" t="s">
        <v>24</v>
      </c>
      <c r="E650" s="32" t="s">
        <v>10</v>
      </c>
      <c r="F650" s="32" t="s">
        <v>11</v>
      </c>
      <c r="G650" s="33" t="s">
        <v>25</v>
      </c>
    </row>
    <row r="651" spans="3:7" x14ac:dyDescent="0.3">
      <c r="C651" s="34" t="s">
        <v>356</v>
      </c>
      <c r="D651" s="35" t="s">
        <v>325</v>
      </c>
      <c r="E651" s="35">
        <v>0.14000000000000001</v>
      </c>
      <c r="F651" s="35">
        <v>25</v>
      </c>
      <c r="G651" s="36">
        <v>23.2</v>
      </c>
    </row>
    <row r="652" spans="3:7" x14ac:dyDescent="0.3">
      <c r="C652" s="34" t="s">
        <v>357</v>
      </c>
      <c r="D652" s="35" t="s">
        <v>358</v>
      </c>
      <c r="E652" s="35">
        <v>0.03</v>
      </c>
      <c r="F652" s="35">
        <v>4.26</v>
      </c>
      <c r="G652" s="36">
        <v>18.47</v>
      </c>
    </row>
    <row r="653" spans="3:7" x14ac:dyDescent="0.3">
      <c r="C653" s="34" t="s">
        <v>319</v>
      </c>
      <c r="D653" s="35" t="s">
        <v>345</v>
      </c>
      <c r="E653" s="35">
        <v>0.19</v>
      </c>
      <c r="F653" s="35">
        <v>22</v>
      </c>
      <c r="G653" s="36">
        <v>15.67</v>
      </c>
    </row>
    <row r="654" spans="3:7" x14ac:dyDescent="0.3">
      <c r="C654" s="39"/>
      <c r="D654" s="35" t="s">
        <v>346</v>
      </c>
      <c r="E654" s="35">
        <v>0.15</v>
      </c>
      <c r="F654" s="35">
        <v>25</v>
      </c>
      <c r="G654" s="36">
        <v>22.41</v>
      </c>
    </row>
    <row r="655" spans="3:7" x14ac:dyDescent="0.3">
      <c r="C655" s="39"/>
      <c r="D655" s="37" t="s">
        <v>359</v>
      </c>
      <c r="E655" s="37">
        <v>0.34</v>
      </c>
      <c r="F655" s="37">
        <v>64.8</v>
      </c>
      <c r="G655" s="38">
        <v>25.46</v>
      </c>
    </row>
    <row r="656" spans="3:7" x14ac:dyDescent="0.3">
      <c r="C656" s="39"/>
      <c r="D656" s="35" t="s">
        <v>360</v>
      </c>
      <c r="E656" s="35">
        <v>0.13</v>
      </c>
      <c r="F656" s="35">
        <v>18.7</v>
      </c>
      <c r="G656" s="36">
        <v>18.77</v>
      </c>
    </row>
    <row r="657" spans="3:7" x14ac:dyDescent="0.3">
      <c r="C657" s="39"/>
      <c r="D657" s="35" t="s">
        <v>348</v>
      </c>
      <c r="E657" s="35">
        <v>0.27</v>
      </c>
      <c r="F657" s="35">
        <v>50</v>
      </c>
      <c r="G657" s="36">
        <v>24.88</v>
      </c>
    </row>
    <row r="658" spans="3:7" x14ac:dyDescent="0.3">
      <c r="C658" s="39"/>
      <c r="D658" s="35" t="s">
        <v>349</v>
      </c>
      <c r="E658" s="35">
        <v>0.14000000000000001</v>
      </c>
      <c r="F658" s="35">
        <v>25</v>
      </c>
      <c r="G658" s="36">
        <v>24.13</v>
      </c>
    </row>
    <row r="659" spans="3:7" x14ac:dyDescent="0.3">
      <c r="C659" s="39"/>
      <c r="D659" s="35" t="s">
        <v>361</v>
      </c>
      <c r="E659" s="35">
        <v>0.33</v>
      </c>
      <c r="F659" s="35">
        <v>42</v>
      </c>
      <c r="G659" s="36">
        <v>16.739999999999998</v>
      </c>
    </row>
    <row r="660" spans="3:7" x14ac:dyDescent="0.3">
      <c r="C660" s="39"/>
      <c r="D660" s="35" t="s">
        <v>362</v>
      </c>
      <c r="E660" s="35">
        <v>0.01</v>
      </c>
      <c r="F660" s="35">
        <v>1.075</v>
      </c>
      <c r="G660" s="36">
        <v>18.57</v>
      </c>
    </row>
    <row r="661" spans="3:7" x14ac:dyDescent="0.3">
      <c r="C661" s="39"/>
      <c r="D661" s="35" t="s">
        <v>363</v>
      </c>
      <c r="E661" s="35">
        <v>0.03</v>
      </c>
      <c r="F661" s="35">
        <v>2.5</v>
      </c>
      <c r="G661" s="36">
        <v>13.2</v>
      </c>
    </row>
    <row r="662" spans="3:7" x14ac:dyDescent="0.3">
      <c r="C662" s="39"/>
      <c r="D662" s="35" t="s">
        <v>364</v>
      </c>
      <c r="E662" s="35">
        <v>0.02</v>
      </c>
      <c r="F662" s="35">
        <v>0.8</v>
      </c>
      <c r="G662" s="36">
        <v>6.88</v>
      </c>
    </row>
    <row r="663" spans="3:7" x14ac:dyDescent="0.3">
      <c r="C663" s="39"/>
      <c r="D663" s="35" t="s">
        <v>365</v>
      </c>
      <c r="E663" s="35">
        <v>0.01</v>
      </c>
      <c r="F663" s="35">
        <v>1.125</v>
      </c>
      <c r="G663" s="36">
        <v>19.350000000000001</v>
      </c>
    </row>
    <row r="664" spans="3:7" x14ac:dyDescent="0.3">
      <c r="C664" s="39"/>
      <c r="D664" s="35" t="s">
        <v>366</v>
      </c>
      <c r="E664" s="35">
        <v>0.01</v>
      </c>
      <c r="F664" s="35">
        <v>0.875</v>
      </c>
      <c r="G664" s="36">
        <v>12.24</v>
      </c>
    </row>
    <row r="665" spans="3:7" x14ac:dyDescent="0.3">
      <c r="C665" s="39"/>
      <c r="D665" s="35" t="s">
        <v>367</v>
      </c>
      <c r="E665" s="35">
        <v>0.03</v>
      </c>
      <c r="F665" s="35">
        <v>2.25</v>
      </c>
      <c r="G665" s="36">
        <v>10.77</v>
      </c>
    </row>
    <row r="666" spans="3:7" x14ac:dyDescent="0.3">
      <c r="C666" s="39"/>
      <c r="D666" s="35" t="s">
        <v>368</v>
      </c>
      <c r="E666" s="35">
        <v>0.02</v>
      </c>
      <c r="F666" s="35">
        <v>1.25</v>
      </c>
      <c r="G666" s="36">
        <v>8.93</v>
      </c>
    </row>
    <row r="667" spans="3:7" x14ac:dyDescent="0.3">
      <c r="C667" s="39"/>
      <c r="D667" s="35" t="s">
        <v>352</v>
      </c>
      <c r="E667" s="35">
        <v>0.02</v>
      </c>
      <c r="F667" s="35">
        <v>2.25</v>
      </c>
      <c r="G667" s="36">
        <v>13.92</v>
      </c>
    </row>
    <row r="668" spans="3:7" x14ac:dyDescent="0.3">
      <c r="C668" s="39"/>
      <c r="D668" s="35" t="s">
        <v>369</v>
      </c>
      <c r="E668" s="35">
        <v>0.01</v>
      </c>
      <c r="F668" s="35">
        <v>1.25</v>
      </c>
      <c r="G668" s="36">
        <v>12.05</v>
      </c>
    </row>
    <row r="669" spans="3:7" x14ac:dyDescent="0.3">
      <c r="C669" s="39"/>
      <c r="D669" s="35" t="s">
        <v>370</v>
      </c>
      <c r="E669" s="35">
        <v>0.03</v>
      </c>
      <c r="F669" s="35">
        <v>2</v>
      </c>
      <c r="G669" s="36">
        <v>9.49</v>
      </c>
    </row>
    <row r="670" spans="3:7" x14ac:dyDescent="0.3">
      <c r="C670" s="39"/>
      <c r="D670" s="35" t="s">
        <v>371</v>
      </c>
      <c r="E670" s="35">
        <v>0.01</v>
      </c>
      <c r="F670" s="35">
        <v>0.625</v>
      </c>
      <c r="G670" s="36">
        <v>11.38</v>
      </c>
    </row>
    <row r="671" spans="3:7" x14ac:dyDescent="0.3">
      <c r="C671" s="39"/>
      <c r="D671" s="40" t="s">
        <v>372</v>
      </c>
      <c r="E671" s="40">
        <v>0</v>
      </c>
      <c r="F671" s="40">
        <v>0.4</v>
      </c>
      <c r="G671" s="41">
        <v>17.399999999999999</v>
      </c>
    </row>
    <row r="672" spans="3:7" x14ac:dyDescent="0.3">
      <c r="C672" s="42"/>
      <c r="D672" s="43" t="s">
        <v>373</v>
      </c>
      <c r="E672" s="43">
        <v>0.15</v>
      </c>
      <c r="F672" s="43">
        <v>28.977</v>
      </c>
      <c r="G672" s="44">
        <v>25.76</v>
      </c>
    </row>
    <row r="676" spans="3:7" x14ac:dyDescent="0.3">
      <c r="C676" s="31" t="s">
        <v>374</v>
      </c>
      <c r="D676" s="32" t="s">
        <v>24</v>
      </c>
      <c r="E676" s="32" t="s">
        <v>10</v>
      </c>
      <c r="F676" s="32" t="s">
        <v>11</v>
      </c>
      <c r="G676" s="33" t="s">
        <v>25</v>
      </c>
    </row>
    <row r="677" spans="3:7" x14ac:dyDescent="0.3">
      <c r="C677" s="34" t="s">
        <v>375</v>
      </c>
      <c r="D677" s="35" t="s">
        <v>376</v>
      </c>
      <c r="E677" s="35">
        <v>0.15</v>
      </c>
      <c r="F677" s="35">
        <v>23.54</v>
      </c>
      <c r="G677" s="36">
        <v>21.59</v>
      </c>
    </row>
    <row r="678" spans="3:7" x14ac:dyDescent="0.3">
      <c r="C678" s="34" t="s">
        <v>377</v>
      </c>
      <c r="D678" s="35" t="s">
        <v>378</v>
      </c>
      <c r="E678" s="35">
        <v>0.12</v>
      </c>
      <c r="F678" s="35">
        <v>25</v>
      </c>
      <c r="G678" s="36">
        <v>26.72</v>
      </c>
    </row>
    <row r="679" spans="3:7" x14ac:dyDescent="0.3">
      <c r="C679" s="34" t="s">
        <v>319</v>
      </c>
      <c r="D679" s="35" t="s">
        <v>379</v>
      </c>
      <c r="E679" s="35">
        <v>0.04</v>
      </c>
      <c r="F679" s="35">
        <v>5.5</v>
      </c>
      <c r="G679" s="36">
        <v>18.25</v>
      </c>
    </row>
    <row r="680" spans="3:7" x14ac:dyDescent="0.3">
      <c r="C680" s="39"/>
      <c r="D680" s="35" t="s">
        <v>380</v>
      </c>
      <c r="E680" s="35">
        <v>0.01</v>
      </c>
      <c r="F680" s="35">
        <v>2.7</v>
      </c>
      <c r="G680" s="36">
        <v>25.76</v>
      </c>
    </row>
    <row r="681" spans="3:7" x14ac:dyDescent="0.3">
      <c r="C681" s="39"/>
      <c r="D681" s="35" t="s">
        <v>381</v>
      </c>
      <c r="E681" s="35">
        <v>0.06</v>
      </c>
      <c r="F681" s="35">
        <v>12</v>
      </c>
      <c r="G681" s="36">
        <v>28.28</v>
      </c>
    </row>
    <row r="682" spans="3:7" x14ac:dyDescent="0.3">
      <c r="C682" s="39"/>
      <c r="D682" s="35" t="s">
        <v>346</v>
      </c>
      <c r="E682" s="35">
        <v>0.12</v>
      </c>
      <c r="F682" s="35">
        <v>21</v>
      </c>
      <c r="G682" s="36">
        <v>22.41</v>
      </c>
    </row>
    <row r="683" spans="3:7" x14ac:dyDescent="0.3">
      <c r="C683" s="39"/>
      <c r="D683" s="35" t="s">
        <v>359</v>
      </c>
      <c r="E683" s="35">
        <v>0.3</v>
      </c>
      <c r="F683" s="35">
        <v>57.6</v>
      </c>
      <c r="G683" s="36">
        <v>25.46</v>
      </c>
    </row>
    <row r="684" spans="3:7" x14ac:dyDescent="0.3">
      <c r="C684" s="39"/>
      <c r="D684" s="35" t="s">
        <v>360</v>
      </c>
      <c r="E684" s="35">
        <v>0.14000000000000001</v>
      </c>
      <c r="F684" s="35">
        <v>20.399999999999999</v>
      </c>
      <c r="G684" s="36">
        <v>18.77</v>
      </c>
    </row>
    <row r="685" spans="3:7" x14ac:dyDescent="0.3">
      <c r="C685" s="39"/>
      <c r="D685" s="35" t="s">
        <v>348</v>
      </c>
      <c r="E685" s="35">
        <v>0.13</v>
      </c>
      <c r="F685" s="35">
        <v>25</v>
      </c>
      <c r="G685" s="36">
        <v>24.88</v>
      </c>
    </row>
    <row r="686" spans="3:7" x14ac:dyDescent="0.3">
      <c r="C686" s="39"/>
      <c r="D686" s="35" t="s">
        <v>349</v>
      </c>
      <c r="E686" s="35">
        <v>0.12</v>
      </c>
      <c r="F686" s="35">
        <v>22</v>
      </c>
      <c r="G686" s="36">
        <v>24.13</v>
      </c>
    </row>
    <row r="687" spans="3:7" x14ac:dyDescent="0.3">
      <c r="C687" s="39"/>
      <c r="D687" s="37" t="s">
        <v>382</v>
      </c>
      <c r="E687" s="37">
        <v>0.3</v>
      </c>
      <c r="F687" s="37">
        <v>77.400000000000006</v>
      </c>
      <c r="G687" s="38">
        <v>33.86</v>
      </c>
    </row>
    <row r="688" spans="3:7" x14ac:dyDescent="0.3">
      <c r="C688" s="39"/>
      <c r="D688" s="35" t="s">
        <v>361</v>
      </c>
      <c r="E688" s="35">
        <v>0.37</v>
      </c>
      <c r="F688" s="35">
        <v>46.2</v>
      </c>
      <c r="G688" s="36">
        <v>16.739999999999998</v>
      </c>
    </row>
    <row r="689" spans="3:7" x14ac:dyDescent="0.3">
      <c r="C689" s="39"/>
      <c r="D689" s="35" t="s">
        <v>383</v>
      </c>
      <c r="E689" s="35">
        <v>0.11</v>
      </c>
      <c r="F689" s="35">
        <v>20.8</v>
      </c>
      <c r="G689" s="36">
        <v>24.17</v>
      </c>
    </row>
    <row r="690" spans="3:7" x14ac:dyDescent="0.3">
      <c r="C690" s="39"/>
      <c r="D690" s="35" t="s">
        <v>362</v>
      </c>
      <c r="E690" s="35">
        <v>0.01</v>
      </c>
      <c r="F690" s="35">
        <v>1.075</v>
      </c>
      <c r="G690" s="36">
        <v>18.57</v>
      </c>
    </row>
    <row r="691" spans="3:7" x14ac:dyDescent="0.3">
      <c r="C691" s="39"/>
      <c r="D691" s="35" t="s">
        <v>363</v>
      </c>
      <c r="E691" s="35">
        <v>0.03</v>
      </c>
      <c r="F691" s="35">
        <v>2.5</v>
      </c>
      <c r="G691" s="36">
        <v>13.2</v>
      </c>
    </row>
    <row r="692" spans="3:7" x14ac:dyDescent="0.3">
      <c r="C692" s="39"/>
      <c r="D692" s="35" t="s">
        <v>364</v>
      </c>
      <c r="E692" s="35">
        <v>0.02</v>
      </c>
      <c r="F692" s="35">
        <v>0.8</v>
      </c>
      <c r="G692" s="36">
        <v>6.88</v>
      </c>
    </row>
    <row r="693" spans="3:7" x14ac:dyDescent="0.3">
      <c r="C693" s="39"/>
      <c r="D693" s="35" t="s">
        <v>365</v>
      </c>
      <c r="E693" s="35">
        <v>0.01</v>
      </c>
      <c r="F693" s="35">
        <v>1.125</v>
      </c>
      <c r="G693" s="36">
        <v>19.350000000000001</v>
      </c>
    </row>
    <row r="694" spans="3:7" x14ac:dyDescent="0.3">
      <c r="C694" s="39"/>
      <c r="D694" s="35" t="s">
        <v>366</v>
      </c>
      <c r="E694" s="35">
        <v>0.01</v>
      </c>
      <c r="F694" s="35">
        <v>0.875</v>
      </c>
      <c r="G694" s="36">
        <v>12.24</v>
      </c>
    </row>
    <row r="695" spans="3:7" x14ac:dyDescent="0.3">
      <c r="C695" s="39"/>
      <c r="D695" s="35" t="s">
        <v>367</v>
      </c>
      <c r="E695" s="35">
        <v>0.03</v>
      </c>
      <c r="F695" s="35">
        <v>2.25</v>
      </c>
      <c r="G695" s="36">
        <v>10.77</v>
      </c>
    </row>
    <row r="696" spans="3:7" x14ac:dyDescent="0.3">
      <c r="C696" s="39"/>
      <c r="D696" s="35" t="s">
        <v>384</v>
      </c>
      <c r="E696" s="35">
        <v>0.01</v>
      </c>
      <c r="F696" s="35">
        <v>1.1000000000000001</v>
      </c>
      <c r="G696" s="36">
        <v>11.31</v>
      </c>
    </row>
    <row r="697" spans="3:7" x14ac:dyDescent="0.3">
      <c r="C697" s="39"/>
      <c r="D697" s="35" t="s">
        <v>368</v>
      </c>
      <c r="E697" s="35">
        <v>0.02</v>
      </c>
      <c r="F697" s="35">
        <v>1.25</v>
      </c>
      <c r="G697" s="36">
        <v>8.93</v>
      </c>
    </row>
    <row r="698" spans="3:7" x14ac:dyDescent="0.3">
      <c r="C698" s="39"/>
      <c r="D698" s="35" t="s">
        <v>352</v>
      </c>
      <c r="E698" s="35">
        <v>0.02</v>
      </c>
      <c r="F698" s="35">
        <v>2.25</v>
      </c>
      <c r="G698" s="36">
        <v>13.92</v>
      </c>
    </row>
    <row r="699" spans="3:7" x14ac:dyDescent="0.3">
      <c r="C699" s="39"/>
      <c r="D699" s="35" t="s">
        <v>369</v>
      </c>
      <c r="E699" s="35">
        <v>0.01</v>
      </c>
      <c r="F699" s="35">
        <v>1.25</v>
      </c>
      <c r="G699" s="36">
        <v>12.05</v>
      </c>
    </row>
    <row r="700" spans="3:7" x14ac:dyDescent="0.3">
      <c r="C700" s="39"/>
      <c r="D700" s="35" t="s">
        <v>370</v>
      </c>
      <c r="E700" s="35">
        <v>0.03</v>
      </c>
      <c r="F700" s="35">
        <v>2</v>
      </c>
      <c r="G700" s="36">
        <v>9.49</v>
      </c>
    </row>
    <row r="701" spans="3:7" x14ac:dyDescent="0.3">
      <c r="C701" s="39"/>
      <c r="D701" s="35" t="s">
        <v>371</v>
      </c>
      <c r="E701" s="35">
        <v>0.01</v>
      </c>
      <c r="F701" s="35">
        <v>0.625</v>
      </c>
      <c r="G701" s="36">
        <v>11.38</v>
      </c>
    </row>
    <row r="702" spans="3:7" x14ac:dyDescent="0.3">
      <c r="C702" s="39"/>
      <c r="D702" s="40" t="s">
        <v>372</v>
      </c>
      <c r="E702" s="40">
        <v>0</v>
      </c>
      <c r="F702" s="40">
        <v>0.4</v>
      </c>
      <c r="G702" s="41">
        <v>17.399999999999999</v>
      </c>
    </row>
    <row r="703" spans="3:7" x14ac:dyDescent="0.3">
      <c r="C703" s="39"/>
      <c r="D703" s="35" t="s">
        <v>373</v>
      </c>
      <c r="E703" s="35">
        <v>0.05</v>
      </c>
      <c r="F703" s="35">
        <v>10.051</v>
      </c>
      <c r="G703" s="36">
        <v>25.76</v>
      </c>
    </row>
    <row r="704" spans="3:7" x14ac:dyDescent="0.3">
      <c r="C704" s="42"/>
      <c r="D704" s="43" t="s">
        <v>385</v>
      </c>
      <c r="E704" s="43">
        <v>0.02</v>
      </c>
      <c r="F704" s="43">
        <v>5</v>
      </c>
      <c r="G704" s="44">
        <v>31.51</v>
      </c>
    </row>
    <row r="708" spans="3:7" x14ac:dyDescent="0.3">
      <c r="C708" s="31" t="s">
        <v>386</v>
      </c>
      <c r="D708" s="32" t="s">
        <v>24</v>
      </c>
      <c r="E708" s="32" t="s">
        <v>10</v>
      </c>
      <c r="F708" s="32" t="s">
        <v>11</v>
      </c>
      <c r="G708" s="33" t="s">
        <v>25</v>
      </c>
    </row>
    <row r="709" spans="3:7" x14ac:dyDescent="0.3">
      <c r="C709" s="34" t="s">
        <v>387</v>
      </c>
      <c r="D709" s="35" t="s">
        <v>388</v>
      </c>
      <c r="E709" s="35">
        <v>0.14000000000000001</v>
      </c>
      <c r="F709" s="35">
        <v>25</v>
      </c>
      <c r="G709" s="36">
        <v>23.2</v>
      </c>
    </row>
    <row r="710" spans="3:7" x14ac:dyDescent="0.3">
      <c r="C710" s="34" t="s">
        <v>389</v>
      </c>
      <c r="D710" s="35" t="s">
        <v>390</v>
      </c>
      <c r="E710" s="35">
        <v>0.11</v>
      </c>
      <c r="F710" s="35">
        <v>20</v>
      </c>
      <c r="G710" s="36">
        <v>23.93</v>
      </c>
    </row>
    <row r="711" spans="3:7" x14ac:dyDescent="0.3">
      <c r="C711" s="34" t="s">
        <v>319</v>
      </c>
      <c r="D711" s="35" t="s">
        <v>391</v>
      </c>
      <c r="E711" s="35">
        <v>0.18</v>
      </c>
      <c r="F711" s="35">
        <v>19.899999999999999</v>
      </c>
      <c r="G711" s="36">
        <v>14.83</v>
      </c>
    </row>
    <row r="712" spans="3:7" x14ac:dyDescent="0.3">
      <c r="C712" s="39"/>
      <c r="D712" s="35" t="s">
        <v>341</v>
      </c>
      <c r="E712" s="35">
        <v>0.27</v>
      </c>
      <c r="F712" s="35">
        <v>36.299999999999997</v>
      </c>
      <c r="G712" s="36">
        <v>18.25</v>
      </c>
    </row>
    <row r="713" spans="3:7" x14ac:dyDescent="0.3">
      <c r="C713" s="39"/>
      <c r="D713" s="35" t="s">
        <v>392</v>
      </c>
      <c r="E713" s="35">
        <v>0.01</v>
      </c>
      <c r="F713" s="35">
        <v>1.7</v>
      </c>
      <c r="G713" s="36">
        <v>21.71</v>
      </c>
    </row>
    <row r="714" spans="3:7" x14ac:dyDescent="0.3">
      <c r="C714" s="39"/>
      <c r="D714" s="35" t="s">
        <v>392</v>
      </c>
      <c r="E714" s="35">
        <v>0.09</v>
      </c>
      <c r="F714" s="35">
        <v>15</v>
      </c>
      <c r="G714" s="36">
        <v>21.71</v>
      </c>
    </row>
    <row r="715" spans="3:7" x14ac:dyDescent="0.3">
      <c r="C715" s="39"/>
      <c r="D715" s="35" t="s">
        <v>393</v>
      </c>
      <c r="E715" s="35">
        <v>0.11</v>
      </c>
      <c r="F715" s="35">
        <v>14.4</v>
      </c>
      <c r="G715" s="36">
        <v>18.25</v>
      </c>
    </row>
    <row r="716" spans="3:7" x14ac:dyDescent="0.3">
      <c r="C716" s="39"/>
      <c r="D716" s="35" t="s">
        <v>393</v>
      </c>
      <c r="E716" s="35">
        <v>0.1</v>
      </c>
      <c r="F716" s="35">
        <v>14.3</v>
      </c>
      <c r="G716" s="36">
        <v>18.25</v>
      </c>
    </row>
    <row r="717" spans="3:7" x14ac:dyDescent="0.3">
      <c r="C717" s="39"/>
      <c r="D717" s="35" t="s">
        <v>394</v>
      </c>
      <c r="E717" s="35">
        <v>7.0000000000000007E-2</v>
      </c>
      <c r="F717" s="35">
        <v>10</v>
      </c>
      <c r="G717" s="36">
        <v>18.25</v>
      </c>
    </row>
    <row r="718" spans="3:7" x14ac:dyDescent="0.3">
      <c r="C718" s="39"/>
      <c r="D718" s="35" t="s">
        <v>381</v>
      </c>
      <c r="E718" s="35">
        <v>0.21</v>
      </c>
      <c r="F718" s="35">
        <v>44</v>
      </c>
      <c r="G718" s="36">
        <v>28.28</v>
      </c>
    </row>
    <row r="719" spans="3:7" x14ac:dyDescent="0.3">
      <c r="C719" s="39"/>
      <c r="D719" s="35" t="s">
        <v>345</v>
      </c>
      <c r="E719" s="35">
        <v>0.37</v>
      </c>
      <c r="F719" s="35">
        <v>44</v>
      </c>
      <c r="G719" s="36">
        <v>15.67</v>
      </c>
    </row>
    <row r="720" spans="3:7" x14ac:dyDescent="0.3">
      <c r="C720" s="39"/>
      <c r="D720" s="35" t="s">
        <v>395</v>
      </c>
      <c r="E720" s="35">
        <v>0.28000000000000003</v>
      </c>
      <c r="F720" s="35">
        <v>30</v>
      </c>
      <c r="G720" s="36">
        <v>14.35</v>
      </c>
    </row>
    <row r="721" spans="3:7" x14ac:dyDescent="0.3">
      <c r="C721" s="39"/>
      <c r="D721" s="35" t="s">
        <v>396</v>
      </c>
      <c r="E721" s="35">
        <v>0.25</v>
      </c>
      <c r="F721" s="35">
        <v>30</v>
      </c>
      <c r="G721" s="36">
        <v>16.28</v>
      </c>
    </row>
    <row r="722" spans="3:7" x14ac:dyDescent="0.3">
      <c r="C722" s="39"/>
      <c r="D722" s="35" t="s">
        <v>397</v>
      </c>
      <c r="E722" s="35">
        <v>0.14000000000000001</v>
      </c>
      <c r="F722" s="35">
        <v>15</v>
      </c>
      <c r="G722" s="36">
        <v>14.62</v>
      </c>
    </row>
    <row r="723" spans="3:7" x14ac:dyDescent="0.3">
      <c r="C723" s="39"/>
      <c r="D723" s="35" t="s">
        <v>398</v>
      </c>
      <c r="E723" s="35">
        <v>0.1</v>
      </c>
      <c r="F723" s="35">
        <v>18</v>
      </c>
      <c r="G723" s="36">
        <v>24.94</v>
      </c>
    </row>
    <row r="724" spans="3:7" x14ac:dyDescent="0.3">
      <c r="C724" s="39"/>
      <c r="D724" s="35" t="s">
        <v>399</v>
      </c>
      <c r="E724" s="35">
        <v>0.2</v>
      </c>
      <c r="F724" s="35">
        <v>25</v>
      </c>
      <c r="G724" s="36">
        <v>16.5</v>
      </c>
    </row>
    <row r="725" spans="3:7" x14ac:dyDescent="0.3">
      <c r="C725" s="39"/>
      <c r="D725" s="35" t="s">
        <v>346</v>
      </c>
      <c r="E725" s="35">
        <v>0.3</v>
      </c>
      <c r="F725" s="35">
        <v>50</v>
      </c>
      <c r="G725" s="36">
        <v>22.41</v>
      </c>
    </row>
    <row r="726" spans="3:7" x14ac:dyDescent="0.3">
      <c r="C726" s="39"/>
      <c r="D726" s="35" t="s">
        <v>359</v>
      </c>
      <c r="E726" s="35">
        <v>0.28000000000000003</v>
      </c>
      <c r="F726" s="35">
        <v>54</v>
      </c>
      <c r="G726" s="36">
        <v>25.46</v>
      </c>
    </row>
    <row r="727" spans="3:7" x14ac:dyDescent="0.3">
      <c r="C727" s="39"/>
      <c r="D727" s="35" t="s">
        <v>360</v>
      </c>
      <c r="E727" s="35">
        <v>0.11</v>
      </c>
      <c r="F727" s="35">
        <v>15.1</v>
      </c>
      <c r="G727" s="36">
        <v>18.77</v>
      </c>
    </row>
    <row r="728" spans="3:7" x14ac:dyDescent="0.3">
      <c r="C728" s="39"/>
      <c r="D728" s="35" t="s">
        <v>348</v>
      </c>
      <c r="E728" s="35">
        <v>0.27</v>
      </c>
      <c r="F728" s="35">
        <v>50</v>
      </c>
      <c r="G728" s="36">
        <v>24.88</v>
      </c>
    </row>
    <row r="729" spans="3:7" x14ac:dyDescent="0.3">
      <c r="C729" s="39"/>
      <c r="D729" s="35" t="s">
        <v>400</v>
      </c>
      <c r="E729" s="35">
        <v>0.27</v>
      </c>
      <c r="F729" s="35">
        <v>62.795000000000002</v>
      </c>
      <c r="G729" s="36">
        <v>30.61</v>
      </c>
    </row>
    <row r="730" spans="3:7" x14ac:dyDescent="0.3">
      <c r="C730" s="39"/>
      <c r="D730" s="35" t="s">
        <v>401</v>
      </c>
      <c r="E730" s="35">
        <v>0.15</v>
      </c>
      <c r="F730" s="35">
        <v>25</v>
      </c>
      <c r="G730" s="36">
        <v>22.04</v>
      </c>
    </row>
    <row r="731" spans="3:7" x14ac:dyDescent="0.3">
      <c r="C731" s="39"/>
      <c r="D731" s="35" t="s">
        <v>349</v>
      </c>
      <c r="E731" s="35">
        <v>0.24</v>
      </c>
      <c r="F731" s="35">
        <v>44</v>
      </c>
      <c r="G731" s="36">
        <v>24.13</v>
      </c>
    </row>
    <row r="732" spans="3:7" x14ac:dyDescent="0.3">
      <c r="C732" s="39"/>
      <c r="D732" s="37" t="s">
        <v>382</v>
      </c>
      <c r="E732" s="37">
        <v>0.27</v>
      </c>
      <c r="F732" s="37">
        <v>68.8</v>
      </c>
      <c r="G732" s="38">
        <v>33.86</v>
      </c>
    </row>
    <row r="733" spans="3:7" x14ac:dyDescent="0.3">
      <c r="C733" s="39"/>
      <c r="D733" s="35" t="s">
        <v>361</v>
      </c>
      <c r="E733" s="35">
        <v>0.17</v>
      </c>
      <c r="F733" s="35">
        <v>21</v>
      </c>
      <c r="G733" s="36">
        <v>16.739999999999998</v>
      </c>
    </row>
    <row r="734" spans="3:7" x14ac:dyDescent="0.3">
      <c r="C734" s="39"/>
      <c r="D734" s="35" t="s">
        <v>402</v>
      </c>
      <c r="E734" s="35">
        <v>0.05</v>
      </c>
      <c r="F734" s="35">
        <v>5</v>
      </c>
      <c r="G734" s="36">
        <v>13.23</v>
      </c>
    </row>
    <row r="735" spans="3:7" x14ac:dyDescent="0.3">
      <c r="C735" s="39"/>
      <c r="D735" s="35" t="s">
        <v>403</v>
      </c>
      <c r="E735" s="35">
        <v>0.31</v>
      </c>
      <c r="F735" s="35">
        <v>50</v>
      </c>
      <c r="G735" s="36">
        <v>21.61</v>
      </c>
    </row>
    <row r="736" spans="3:7" x14ac:dyDescent="0.3">
      <c r="C736" s="39"/>
      <c r="D736" s="35" t="s">
        <v>362</v>
      </c>
      <c r="E736" s="35">
        <v>0.02</v>
      </c>
      <c r="F736" s="35">
        <v>2.15</v>
      </c>
      <c r="G736" s="36">
        <v>18.57</v>
      </c>
    </row>
    <row r="737" spans="3:7" x14ac:dyDescent="0.3">
      <c r="C737" s="39"/>
      <c r="D737" s="35" t="s">
        <v>363</v>
      </c>
      <c r="E737" s="35">
        <v>0.03</v>
      </c>
      <c r="F737" s="35">
        <v>2.5</v>
      </c>
      <c r="G737" s="36">
        <v>13.2</v>
      </c>
    </row>
    <row r="738" spans="3:7" x14ac:dyDescent="0.3">
      <c r="C738" s="39"/>
      <c r="D738" s="35" t="s">
        <v>404</v>
      </c>
      <c r="E738" s="35">
        <v>0.01</v>
      </c>
      <c r="F738" s="35">
        <v>0.75</v>
      </c>
      <c r="G738" s="36">
        <v>8.08</v>
      </c>
    </row>
    <row r="739" spans="3:7" x14ac:dyDescent="0.3">
      <c r="C739" s="39"/>
      <c r="D739" s="35" t="s">
        <v>364</v>
      </c>
      <c r="E739" s="35">
        <v>0.05</v>
      </c>
      <c r="F739" s="35">
        <v>2.4</v>
      </c>
      <c r="G739" s="36">
        <v>6.88</v>
      </c>
    </row>
    <row r="740" spans="3:7" x14ac:dyDescent="0.3">
      <c r="C740" s="39"/>
      <c r="D740" s="35" t="s">
        <v>365</v>
      </c>
      <c r="E740" s="35">
        <v>0.01</v>
      </c>
      <c r="F740" s="35">
        <v>1.125</v>
      </c>
      <c r="G740" s="36">
        <v>19.350000000000001</v>
      </c>
    </row>
    <row r="741" spans="3:7" x14ac:dyDescent="0.3">
      <c r="C741" s="39"/>
      <c r="D741" s="35" t="s">
        <v>350</v>
      </c>
      <c r="E741" s="35">
        <v>0.02</v>
      </c>
      <c r="F741" s="35">
        <v>2.5</v>
      </c>
      <c r="G741" s="36">
        <v>18.739999999999998</v>
      </c>
    </row>
    <row r="742" spans="3:7" x14ac:dyDescent="0.3">
      <c r="C742" s="39"/>
      <c r="D742" s="35" t="s">
        <v>366</v>
      </c>
      <c r="E742" s="35">
        <v>0.03</v>
      </c>
      <c r="F742" s="35">
        <v>2.625</v>
      </c>
      <c r="G742" s="36">
        <v>12.24</v>
      </c>
    </row>
    <row r="743" spans="3:7" x14ac:dyDescent="0.3">
      <c r="C743" s="39"/>
      <c r="D743" s="35" t="s">
        <v>351</v>
      </c>
      <c r="E743" s="35">
        <v>0.68</v>
      </c>
      <c r="F743" s="35">
        <v>44</v>
      </c>
      <c r="G743" s="36">
        <v>8.67</v>
      </c>
    </row>
    <row r="744" spans="3:7" x14ac:dyDescent="0.3">
      <c r="C744" s="39"/>
      <c r="D744" s="35" t="s">
        <v>367</v>
      </c>
      <c r="E744" s="35">
        <v>0.03</v>
      </c>
      <c r="F744" s="35">
        <v>2.25</v>
      </c>
      <c r="G744" s="36">
        <v>10.77</v>
      </c>
    </row>
    <row r="745" spans="3:7" x14ac:dyDescent="0.3">
      <c r="C745" s="39"/>
      <c r="D745" s="35" t="s">
        <v>384</v>
      </c>
      <c r="E745" s="35">
        <v>0.01</v>
      </c>
      <c r="F745" s="35">
        <v>1.1000000000000001</v>
      </c>
      <c r="G745" s="36">
        <v>11.31</v>
      </c>
    </row>
    <row r="746" spans="3:7" x14ac:dyDescent="0.3">
      <c r="C746" s="39"/>
      <c r="D746" s="35" t="s">
        <v>368</v>
      </c>
      <c r="E746" s="35">
        <v>0.02</v>
      </c>
      <c r="F746" s="35">
        <v>1.25</v>
      </c>
      <c r="G746" s="36">
        <v>8.93</v>
      </c>
    </row>
    <row r="747" spans="3:7" x14ac:dyDescent="0.3">
      <c r="C747" s="39"/>
      <c r="D747" s="35" t="s">
        <v>352</v>
      </c>
      <c r="E747" s="35">
        <v>0.04</v>
      </c>
      <c r="F747" s="35">
        <v>4.5</v>
      </c>
      <c r="G747" s="36">
        <v>13.92</v>
      </c>
    </row>
    <row r="748" spans="3:7" x14ac:dyDescent="0.3">
      <c r="C748" s="39"/>
      <c r="D748" s="35" t="s">
        <v>405</v>
      </c>
      <c r="E748" s="35">
        <v>0.01</v>
      </c>
      <c r="F748" s="35">
        <v>0.5</v>
      </c>
      <c r="G748" s="36">
        <v>6.7</v>
      </c>
    </row>
    <row r="749" spans="3:7" x14ac:dyDescent="0.3">
      <c r="C749" s="39"/>
      <c r="D749" s="35" t="s">
        <v>369</v>
      </c>
      <c r="E749" s="35">
        <v>0.03</v>
      </c>
      <c r="F749" s="35">
        <v>2.5</v>
      </c>
      <c r="G749" s="36">
        <v>12.05</v>
      </c>
    </row>
    <row r="750" spans="3:7" x14ac:dyDescent="0.3">
      <c r="C750" s="39"/>
      <c r="D750" s="35" t="s">
        <v>370</v>
      </c>
      <c r="E750" s="35">
        <v>0.03</v>
      </c>
      <c r="F750" s="35">
        <v>2</v>
      </c>
      <c r="G750" s="36">
        <v>9.49</v>
      </c>
    </row>
    <row r="751" spans="3:7" x14ac:dyDescent="0.3">
      <c r="C751" s="39"/>
      <c r="D751" s="35" t="s">
        <v>406</v>
      </c>
      <c r="E751" s="35">
        <v>0.03</v>
      </c>
      <c r="F751" s="35">
        <v>1.875</v>
      </c>
      <c r="G751" s="36">
        <v>9.85</v>
      </c>
    </row>
    <row r="752" spans="3:7" x14ac:dyDescent="0.3">
      <c r="C752" s="39"/>
      <c r="D752" s="35" t="s">
        <v>407</v>
      </c>
      <c r="E752" s="35">
        <v>0.01</v>
      </c>
      <c r="F752" s="35">
        <v>1.25</v>
      </c>
      <c r="G752" s="36">
        <v>11.89</v>
      </c>
    </row>
    <row r="753" spans="3:7" x14ac:dyDescent="0.3">
      <c r="C753" s="39"/>
      <c r="D753" s="35" t="s">
        <v>408</v>
      </c>
      <c r="E753" s="35">
        <v>0.02</v>
      </c>
      <c r="F753" s="35">
        <v>2.5</v>
      </c>
      <c r="G753" s="36">
        <v>17.38</v>
      </c>
    </row>
    <row r="754" spans="3:7" x14ac:dyDescent="0.3">
      <c r="C754" s="39"/>
      <c r="D754" s="35" t="s">
        <v>371</v>
      </c>
      <c r="E754" s="35">
        <v>0.01</v>
      </c>
      <c r="F754" s="35">
        <v>1.25</v>
      </c>
      <c r="G754" s="36">
        <v>11.38</v>
      </c>
    </row>
    <row r="755" spans="3:7" x14ac:dyDescent="0.3">
      <c r="C755" s="39"/>
      <c r="D755" s="35" t="s">
        <v>409</v>
      </c>
      <c r="E755" s="35">
        <v>0.03</v>
      </c>
      <c r="F755" s="35">
        <v>2.25</v>
      </c>
      <c r="G755" s="36">
        <v>11.23</v>
      </c>
    </row>
    <row r="756" spans="3:7" x14ac:dyDescent="0.3">
      <c r="C756" s="39"/>
      <c r="D756" s="35" t="s">
        <v>410</v>
      </c>
      <c r="E756" s="35">
        <v>0.01</v>
      </c>
      <c r="F756" s="35">
        <v>0.45</v>
      </c>
      <c r="G756" s="36">
        <v>11.61</v>
      </c>
    </row>
    <row r="757" spans="3:7" x14ac:dyDescent="0.3">
      <c r="C757" s="39"/>
      <c r="D757" s="35" t="s">
        <v>411</v>
      </c>
      <c r="E757" s="35">
        <v>0.03</v>
      </c>
      <c r="F757" s="35">
        <v>2.5</v>
      </c>
      <c r="G757" s="36">
        <v>11.51</v>
      </c>
    </row>
    <row r="758" spans="3:7" x14ac:dyDescent="0.3">
      <c r="C758" s="39"/>
      <c r="D758" s="35" t="s">
        <v>412</v>
      </c>
      <c r="E758" s="35">
        <v>0.01</v>
      </c>
      <c r="F758" s="35">
        <v>1</v>
      </c>
      <c r="G758" s="36">
        <v>21.71</v>
      </c>
    </row>
    <row r="759" spans="3:7" x14ac:dyDescent="0.3">
      <c r="C759" s="39"/>
      <c r="D759" s="40" t="s">
        <v>372</v>
      </c>
      <c r="E759" s="40">
        <v>0</v>
      </c>
      <c r="F759" s="40">
        <v>0.4</v>
      </c>
      <c r="G759" s="41">
        <v>17.399999999999999</v>
      </c>
    </row>
    <row r="760" spans="3:7" x14ac:dyDescent="0.3">
      <c r="C760" s="42"/>
      <c r="D760" s="43" t="s">
        <v>373</v>
      </c>
      <c r="E760" s="43">
        <v>0.06</v>
      </c>
      <c r="F760" s="43">
        <v>11.454000000000001</v>
      </c>
      <c r="G760" s="44">
        <v>25.76</v>
      </c>
    </row>
    <row r="764" spans="3:7" x14ac:dyDescent="0.3">
      <c r="C764" s="31" t="s">
        <v>413</v>
      </c>
      <c r="D764" s="32" t="s">
        <v>24</v>
      </c>
      <c r="E764" s="32" t="s">
        <v>10</v>
      </c>
      <c r="F764" s="32" t="s">
        <v>11</v>
      </c>
      <c r="G764" s="33" t="s">
        <v>25</v>
      </c>
    </row>
    <row r="765" spans="3:7" x14ac:dyDescent="0.3">
      <c r="C765" s="34" t="s">
        <v>414</v>
      </c>
      <c r="D765" s="35" t="s">
        <v>378</v>
      </c>
      <c r="E765" s="35">
        <v>0.1</v>
      </c>
      <c r="F765" s="35">
        <v>20</v>
      </c>
      <c r="G765" s="36">
        <v>26.72</v>
      </c>
    </row>
    <row r="766" spans="3:7" x14ac:dyDescent="0.3">
      <c r="C766" s="34" t="s">
        <v>415</v>
      </c>
      <c r="D766" s="35" t="s">
        <v>346</v>
      </c>
      <c r="E766" s="35">
        <v>0.3</v>
      </c>
      <c r="F766" s="35">
        <v>50</v>
      </c>
      <c r="G766" s="36">
        <v>22.41</v>
      </c>
    </row>
    <row r="767" spans="3:7" x14ac:dyDescent="0.3">
      <c r="C767" s="34" t="s">
        <v>319</v>
      </c>
      <c r="D767" s="35" t="s">
        <v>359</v>
      </c>
      <c r="E767" s="35">
        <v>0.28000000000000003</v>
      </c>
      <c r="F767" s="35">
        <v>54</v>
      </c>
      <c r="G767" s="36">
        <v>25.46</v>
      </c>
    </row>
    <row r="768" spans="3:7" x14ac:dyDescent="0.3">
      <c r="C768" s="39"/>
      <c r="D768" s="35" t="s">
        <v>360</v>
      </c>
      <c r="E768" s="35">
        <v>0.13</v>
      </c>
      <c r="F768" s="35">
        <v>18.7</v>
      </c>
      <c r="G768" s="36">
        <v>18.77</v>
      </c>
    </row>
    <row r="769" spans="3:7" x14ac:dyDescent="0.3">
      <c r="C769" s="39"/>
      <c r="D769" s="35" t="s">
        <v>348</v>
      </c>
      <c r="E769" s="35">
        <v>0.27</v>
      </c>
      <c r="F769" s="35">
        <v>50</v>
      </c>
      <c r="G769" s="36">
        <v>24.88</v>
      </c>
    </row>
    <row r="770" spans="3:7" x14ac:dyDescent="0.3">
      <c r="C770" s="39"/>
      <c r="D770" s="35" t="s">
        <v>349</v>
      </c>
      <c r="E770" s="35">
        <v>0.24</v>
      </c>
      <c r="F770" s="35">
        <v>44</v>
      </c>
      <c r="G770" s="36">
        <v>24.13</v>
      </c>
    </row>
    <row r="771" spans="3:7" x14ac:dyDescent="0.3">
      <c r="C771" s="39"/>
      <c r="D771" s="37" t="s">
        <v>382</v>
      </c>
      <c r="E771" s="37">
        <v>0.27</v>
      </c>
      <c r="F771" s="37">
        <v>68.8</v>
      </c>
      <c r="G771" s="38">
        <v>33.86</v>
      </c>
    </row>
    <row r="772" spans="3:7" x14ac:dyDescent="0.3">
      <c r="C772" s="39"/>
      <c r="D772" s="35" t="s">
        <v>361</v>
      </c>
      <c r="E772" s="35">
        <v>0.23</v>
      </c>
      <c r="F772" s="35">
        <v>29.4</v>
      </c>
      <c r="G772" s="36">
        <v>16.739999999999998</v>
      </c>
    </row>
    <row r="773" spans="3:7" x14ac:dyDescent="0.3">
      <c r="C773" s="39"/>
      <c r="D773" s="35" t="s">
        <v>402</v>
      </c>
      <c r="E773" s="35">
        <v>0.05</v>
      </c>
      <c r="F773" s="35">
        <v>5</v>
      </c>
      <c r="G773" s="36">
        <v>13.23</v>
      </c>
    </row>
    <row r="774" spans="3:7" x14ac:dyDescent="0.3">
      <c r="C774" s="39"/>
      <c r="D774" s="35" t="s">
        <v>362</v>
      </c>
      <c r="E774" s="35">
        <v>0.02</v>
      </c>
      <c r="F774" s="35">
        <v>2.15</v>
      </c>
      <c r="G774" s="36">
        <v>18.57</v>
      </c>
    </row>
    <row r="775" spans="3:7" x14ac:dyDescent="0.3">
      <c r="C775" s="39"/>
      <c r="D775" s="35" t="s">
        <v>363</v>
      </c>
      <c r="E775" s="35">
        <v>0.03</v>
      </c>
      <c r="F775" s="35">
        <v>2.5</v>
      </c>
      <c r="G775" s="36">
        <v>13.2</v>
      </c>
    </row>
    <row r="776" spans="3:7" x14ac:dyDescent="0.3">
      <c r="C776" s="39"/>
      <c r="D776" s="35" t="s">
        <v>404</v>
      </c>
      <c r="E776" s="35">
        <v>0.01</v>
      </c>
      <c r="F776" s="35">
        <v>0.75</v>
      </c>
      <c r="G776" s="36">
        <v>8.08</v>
      </c>
    </row>
    <row r="777" spans="3:7" x14ac:dyDescent="0.3">
      <c r="C777" s="39"/>
      <c r="D777" s="35" t="s">
        <v>364</v>
      </c>
      <c r="E777" s="35">
        <v>0.05</v>
      </c>
      <c r="F777" s="35">
        <v>2.4</v>
      </c>
      <c r="G777" s="36">
        <v>6.88</v>
      </c>
    </row>
    <row r="778" spans="3:7" x14ac:dyDescent="0.3">
      <c r="C778" s="39"/>
      <c r="D778" s="35" t="s">
        <v>365</v>
      </c>
      <c r="E778" s="35">
        <v>0.01</v>
      </c>
      <c r="F778" s="35">
        <v>1.125</v>
      </c>
      <c r="G778" s="36">
        <v>19.350000000000001</v>
      </c>
    </row>
    <row r="779" spans="3:7" x14ac:dyDescent="0.3">
      <c r="C779" s="39"/>
      <c r="D779" s="35" t="s">
        <v>350</v>
      </c>
      <c r="E779" s="35">
        <v>0.02</v>
      </c>
      <c r="F779" s="35">
        <v>2.5</v>
      </c>
      <c r="G779" s="36">
        <v>18.739999999999998</v>
      </c>
    </row>
    <row r="780" spans="3:7" x14ac:dyDescent="0.3">
      <c r="C780" s="39"/>
      <c r="D780" s="35" t="s">
        <v>366</v>
      </c>
      <c r="E780" s="35">
        <v>0.03</v>
      </c>
      <c r="F780" s="35">
        <v>2.625</v>
      </c>
      <c r="G780" s="36">
        <v>12.24</v>
      </c>
    </row>
    <row r="781" spans="3:7" x14ac:dyDescent="0.3">
      <c r="C781" s="39"/>
      <c r="D781" s="35" t="s">
        <v>367</v>
      </c>
      <c r="E781" s="35">
        <v>0.03</v>
      </c>
      <c r="F781" s="35">
        <v>2.25</v>
      </c>
      <c r="G781" s="36">
        <v>10.77</v>
      </c>
    </row>
    <row r="782" spans="3:7" x14ac:dyDescent="0.3">
      <c r="C782" s="39"/>
      <c r="D782" s="35" t="s">
        <v>384</v>
      </c>
      <c r="E782" s="35">
        <v>0.01</v>
      </c>
      <c r="F782" s="35">
        <v>1.1000000000000001</v>
      </c>
      <c r="G782" s="36">
        <v>11.31</v>
      </c>
    </row>
    <row r="783" spans="3:7" x14ac:dyDescent="0.3">
      <c r="C783" s="39"/>
      <c r="D783" s="35" t="s">
        <v>368</v>
      </c>
      <c r="E783" s="35">
        <v>0.02</v>
      </c>
      <c r="F783" s="35">
        <v>1.25</v>
      </c>
      <c r="G783" s="36">
        <v>8.93</v>
      </c>
    </row>
    <row r="784" spans="3:7" x14ac:dyDescent="0.3">
      <c r="C784" s="39"/>
      <c r="D784" s="35" t="s">
        <v>352</v>
      </c>
      <c r="E784" s="35">
        <v>0.04</v>
      </c>
      <c r="F784" s="35">
        <v>4.5</v>
      </c>
      <c r="G784" s="36">
        <v>13.92</v>
      </c>
    </row>
    <row r="785" spans="3:7" x14ac:dyDescent="0.3">
      <c r="C785" s="39"/>
      <c r="D785" s="35" t="s">
        <v>405</v>
      </c>
      <c r="E785" s="35">
        <v>0.01</v>
      </c>
      <c r="F785" s="35">
        <v>0.5</v>
      </c>
      <c r="G785" s="36">
        <v>6.7</v>
      </c>
    </row>
    <row r="786" spans="3:7" x14ac:dyDescent="0.3">
      <c r="C786" s="39"/>
      <c r="D786" s="35" t="s">
        <v>369</v>
      </c>
      <c r="E786" s="35">
        <v>0.03</v>
      </c>
      <c r="F786" s="35">
        <v>2.5</v>
      </c>
      <c r="G786" s="36">
        <v>12.05</v>
      </c>
    </row>
    <row r="787" spans="3:7" x14ac:dyDescent="0.3">
      <c r="C787" s="39"/>
      <c r="D787" s="35" t="s">
        <v>370</v>
      </c>
      <c r="E787" s="35">
        <v>0.03</v>
      </c>
      <c r="F787" s="35">
        <v>2</v>
      </c>
      <c r="G787" s="36">
        <v>9.49</v>
      </c>
    </row>
    <row r="788" spans="3:7" x14ac:dyDescent="0.3">
      <c r="C788" s="39"/>
      <c r="D788" s="35" t="s">
        <v>406</v>
      </c>
      <c r="E788" s="35">
        <v>0.03</v>
      </c>
      <c r="F788" s="35">
        <v>1.875</v>
      </c>
      <c r="G788" s="36">
        <v>9.85</v>
      </c>
    </row>
    <row r="789" spans="3:7" x14ac:dyDescent="0.3">
      <c r="C789" s="39"/>
      <c r="D789" s="35" t="s">
        <v>407</v>
      </c>
      <c r="E789" s="35">
        <v>0.01</v>
      </c>
      <c r="F789" s="35">
        <v>1.25</v>
      </c>
      <c r="G789" s="36">
        <v>11.89</v>
      </c>
    </row>
    <row r="790" spans="3:7" x14ac:dyDescent="0.3">
      <c r="C790" s="39"/>
      <c r="D790" s="35" t="s">
        <v>408</v>
      </c>
      <c r="E790" s="35">
        <v>0.02</v>
      </c>
      <c r="F790" s="35">
        <v>2.5</v>
      </c>
      <c r="G790" s="36">
        <v>17.38</v>
      </c>
    </row>
    <row r="791" spans="3:7" x14ac:dyDescent="0.3">
      <c r="C791" s="39"/>
      <c r="D791" s="35" t="s">
        <v>371</v>
      </c>
      <c r="E791" s="35">
        <v>0.01</v>
      </c>
      <c r="F791" s="35">
        <v>1.25</v>
      </c>
      <c r="G791" s="36">
        <v>11.38</v>
      </c>
    </row>
    <row r="792" spans="3:7" x14ac:dyDescent="0.3">
      <c r="C792" s="39"/>
      <c r="D792" s="35" t="s">
        <v>409</v>
      </c>
      <c r="E792" s="35">
        <v>0.03</v>
      </c>
      <c r="F792" s="35">
        <v>2.25</v>
      </c>
      <c r="G792" s="36">
        <v>11.23</v>
      </c>
    </row>
    <row r="793" spans="3:7" x14ac:dyDescent="0.3">
      <c r="C793" s="39"/>
      <c r="D793" s="35" t="s">
        <v>354</v>
      </c>
      <c r="E793" s="35">
        <v>0.15</v>
      </c>
      <c r="F793" s="35">
        <v>17</v>
      </c>
      <c r="G793" s="36">
        <v>14.78</v>
      </c>
    </row>
    <row r="794" spans="3:7" x14ac:dyDescent="0.3">
      <c r="C794" s="39"/>
      <c r="D794" s="35" t="s">
        <v>410</v>
      </c>
      <c r="E794" s="35">
        <v>0.01</v>
      </c>
      <c r="F794" s="35">
        <v>0.45</v>
      </c>
      <c r="G794" s="36">
        <v>11.61</v>
      </c>
    </row>
    <row r="795" spans="3:7" x14ac:dyDescent="0.3">
      <c r="C795" s="39"/>
      <c r="D795" s="35" t="s">
        <v>411</v>
      </c>
      <c r="E795" s="35">
        <v>0.03</v>
      </c>
      <c r="F795" s="35">
        <v>2.5</v>
      </c>
      <c r="G795" s="36">
        <v>11.51</v>
      </c>
    </row>
    <row r="796" spans="3:7" x14ac:dyDescent="0.3">
      <c r="C796" s="39"/>
      <c r="D796" s="35" t="s">
        <v>412</v>
      </c>
      <c r="E796" s="35">
        <v>0.01</v>
      </c>
      <c r="F796" s="35">
        <v>1</v>
      </c>
      <c r="G796" s="36">
        <v>21.71</v>
      </c>
    </row>
    <row r="797" spans="3:7" x14ac:dyDescent="0.3">
      <c r="C797" s="39"/>
      <c r="D797" s="40" t="s">
        <v>372</v>
      </c>
      <c r="E797" s="40">
        <v>0</v>
      </c>
      <c r="F797" s="40">
        <v>0.4</v>
      </c>
      <c r="G797" s="41">
        <v>17.399999999999999</v>
      </c>
    </row>
    <row r="798" spans="3:7" x14ac:dyDescent="0.3">
      <c r="C798" s="42"/>
      <c r="D798" s="43" t="s">
        <v>373</v>
      </c>
      <c r="E798" s="43">
        <v>0.03</v>
      </c>
      <c r="F798" s="43">
        <v>4.9850000000000003</v>
      </c>
      <c r="G798" s="44">
        <v>25.76</v>
      </c>
    </row>
    <row r="802" spans="3:7" x14ac:dyDescent="0.3">
      <c r="C802" s="31" t="s">
        <v>416</v>
      </c>
      <c r="D802" s="32" t="s">
        <v>24</v>
      </c>
      <c r="E802" s="32" t="s">
        <v>10</v>
      </c>
      <c r="F802" s="32" t="s">
        <v>11</v>
      </c>
      <c r="G802" s="33" t="s">
        <v>25</v>
      </c>
    </row>
    <row r="803" spans="3:7" x14ac:dyDescent="0.3">
      <c r="C803" s="34" t="s">
        <v>417</v>
      </c>
      <c r="D803" s="35" t="s">
        <v>325</v>
      </c>
      <c r="E803" s="35">
        <v>0.14000000000000001</v>
      </c>
      <c r="F803" s="35">
        <v>25</v>
      </c>
      <c r="G803" s="36">
        <v>23.2</v>
      </c>
    </row>
    <row r="804" spans="3:7" x14ac:dyDescent="0.3">
      <c r="C804" s="34" t="s">
        <v>418</v>
      </c>
      <c r="D804" s="35" t="s">
        <v>419</v>
      </c>
      <c r="E804" s="35">
        <v>0.14000000000000001</v>
      </c>
      <c r="F804" s="35">
        <v>25</v>
      </c>
      <c r="G804" s="36">
        <v>23.2</v>
      </c>
    </row>
    <row r="805" spans="3:7" x14ac:dyDescent="0.3">
      <c r="C805" s="34" t="s">
        <v>319</v>
      </c>
      <c r="D805" s="35" t="s">
        <v>324</v>
      </c>
      <c r="E805" s="35">
        <v>0.14000000000000001</v>
      </c>
      <c r="F805" s="35">
        <v>20</v>
      </c>
      <c r="G805" s="36">
        <v>19.32</v>
      </c>
    </row>
    <row r="806" spans="3:7" x14ac:dyDescent="0.3">
      <c r="C806" s="39"/>
      <c r="D806" s="35" t="s">
        <v>337</v>
      </c>
      <c r="E806" s="35">
        <v>0.12</v>
      </c>
      <c r="F806" s="35">
        <v>16</v>
      </c>
      <c r="G806" s="36">
        <v>18.25</v>
      </c>
    </row>
    <row r="807" spans="3:7" x14ac:dyDescent="0.3">
      <c r="C807" s="39"/>
      <c r="D807" s="35" t="s">
        <v>346</v>
      </c>
      <c r="E807" s="35">
        <v>0.3</v>
      </c>
      <c r="F807" s="35">
        <v>50</v>
      </c>
      <c r="G807" s="36">
        <v>22.41</v>
      </c>
    </row>
    <row r="808" spans="3:7" x14ac:dyDescent="0.3">
      <c r="C808" s="39"/>
      <c r="D808" s="35" t="s">
        <v>359</v>
      </c>
      <c r="E808" s="35">
        <v>0.26</v>
      </c>
      <c r="F808" s="35">
        <v>50.4</v>
      </c>
      <c r="G808" s="36">
        <v>25.46</v>
      </c>
    </row>
    <row r="809" spans="3:7" x14ac:dyDescent="0.3">
      <c r="C809" s="39"/>
      <c r="D809" s="35" t="s">
        <v>360</v>
      </c>
      <c r="E809" s="35">
        <v>0.13</v>
      </c>
      <c r="F809" s="35">
        <v>18.7</v>
      </c>
      <c r="G809" s="36">
        <v>18.77</v>
      </c>
    </row>
    <row r="810" spans="3:7" x14ac:dyDescent="0.3">
      <c r="C810" s="39"/>
      <c r="D810" s="35" t="s">
        <v>348</v>
      </c>
      <c r="E810" s="35">
        <v>0.27</v>
      </c>
      <c r="F810" s="35">
        <v>50</v>
      </c>
      <c r="G810" s="36">
        <v>24.88</v>
      </c>
    </row>
    <row r="811" spans="3:7" x14ac:dyDescent="0.3">
      <c r="C811" s="39"/>
      <c r="D811" s="35" t="s">
        <v>400</v>
      </c>
      <c r="E811" s="35">
        <v>0.22</v>
      </c>
      <c r="F811" s="35">
        <v>51</v>
      </c>
      <c r="G811" s="36">
        <v>30.61</v>
      </c>
    </row>
    <row r="812" spans="3:7" x14ac:dyDescent="0.3">
      <c r="C812" s="39"/>
      <c r="D812" s="35" t="s">
        <v>349</v>
      </c>
      <c r="E812" s="35">
        <v>0.24</v>
      </c>
      <c r="F812" s="35">
        <v>44</v>
      </c>
      <c r="G812" s="36">
        <v>24.13</v>
      </c>
    </row>
    <row r="813" spans="3:7" x14ac:dyDescent="0.3">
      <c r="C813" s="39"/>
      <c r="D813" s="37" t="s">
        <v>382</v>
      </c>
      <c r="E813" s="37">
        <v>0.28999999999999998</v>
      </c>
      <c r="F813" s="37">
        <v>73.099999999999994</v>
      </c>
      <c r="G813" s="38">
        <v>33.86</v>
      </c>
    </row>
    <row r="814" spans="3:7" x14ac:dyDescent="0.3">
      <c r="C814" s="39"/>
      <c r="D814" s="35" t="s">
        <v>361</v>
      </c>
      <c r="E814" s="35">
        <v>0.23</v>
      </c>
      <c r="F814" s="35">
        <v>29.4</v>
      </c>
      <c r="G814" s="36">
        <v>16.739999999999998</v>
      </c>
    </row>
    <row r="815" spans="3:7" x14ac:dyDescent="0.3">
      <c r="C815" s="39"/>
      <c r="D815" s="35" t="s">
        <v>402</v>
      </c>
      <c r="E815" s="35">
        <v>0.05</v>
      </c>
      <c r="F815" s="35">
        <v>5</v>
      </c>
      <c r="G815" s="36">
        <v>13.23</v>
      </c>
    </row>
    <row r="816" spans="3:7" x14ac:dyDescent="0.3">
      <c r="C816" s="39"/>
      <c r="D816" s="35" t="s">
        <v>362</v>
      </c>
      <c r="E816" s="35">
        <v>0.02</v>
      </c>
      <c r="F816" s="35">
        <v>2.15</v>
      </c>
      <c r="G816" s="36">
        <v>18.57</v>
      </c>
    </row>
    <row r="817" spans="3:7" x14ac:dyDescent="0.3">
      <c r="C817" s="39"/>
      <c r="D817" s="35" t="s">
        <v>363</v>
      </c>
      <c r="E817" s="35">
        <v>0.03</v>
      </c>
      <c r="F817" s="35">
        <v>2.5</v>
      </c>
      <c r="G817" s="36">
        <v>13.2</v>
      </c>
    </row>
    <row r="818" spans="3:7" x14ac:dyDescent="0.3">
      <c r="C818" s="39"/>
      <c r="D818" s="35" t="s">
        <v>404</v>
      </c>
      <c r="E818" s="35">
        <v>0.01</v>
      </c>
      <c r="F818" s="35">
        <v>0.75</v>
      </c>
      <c r="G818" s="36">
        <v>8.08</v>
      </c>
    </row>
    <row r="819" spans="3:7" x14ac:dyDescent="0.3">
      <c r="C819" s="39"/>
      <c r="D819" s="35" t="s">
        <v>364</v>
      </c>
      <c r="E819" s="35">
        <v>0.05</v>
      </c>
      <c r="F819" s="35">
        <v>2.4</v>
      </c>
      <c r="G819" s="36">
        <v>6.88</v>
      </c>
    </row>
    <row r="820" spans="3:7" x14ac:dyDescent="0.3">
      <c r="C820" s="39"/>
      <c r="D820" s="35" t="s">
        <v>365</v>
      </c>
      <c r="E820" s="35">
        <v>0.01</v>
      </c>
      <c r="F820" s="35">
        <v>1.125</v>
      </c>
      <c r="G820" s="36">
        <v>19.350000000000001</v>
      </c>
    </row>
    <row r="821" spans="3:7" x14ac:dyDescent="0.3">
      <c r="C821" s="39"/>
      <c r="D821" s="35" t="s">
        <v>350</v>
      </c>
      <c r="E821" s="35">
        <v>0.02</v>
      </c>
      <c r="F821" s="35">
        <v>2.5</v>
      </c>
      <c r="G821" s="36">
        <v>18.739999999999998</v>
      </c>
    </row>
    <row r="822" spans="3:7" x14ac:dyDescent="0.3">
      <c r="C822" s="39"/>
      <c r="D822" s="35" t="s">
        <v>366</v>
      </c>
      <c r="E822" s="35">
        <v>0.03</v>
      </c>
      <c r="F822" s="35">
        <v>2.625</v>
      </c>
      <c r="G822" s="36">
        <v>12.24</v>
      </c>
    </row>
    <row r="823" spans="3:7" x14ac:dyDescent="0.3">
      <c r="C823" s="39"/>
      <c r="D823" s="35" t="s">
        <v>367</v>
      </c>
      <c r="E823" s="35">
        <v>0.03</v>
      </c>
      <c r="F823" s="35">
        <v>2.25</v>
      </c>
      <c r="G823" s="36">
        <v>10.77</v>
      </c>
    </row>
    <row r="824" spans="3:7" x14ac:dyDescent="0.3">
      <c r="C824" s="39"/>
      <c r="D824" s="35" t="s">
        <v>384</v>
      </c>
      <c r="E824" s="35">
        <v>0.01</v>
      </c>
      <c r="F824" s="35">
        <v>1.1000000000000001</v>
      </c>
      <c r="G824" s="36">
        <v>11.31</v>
      </c>
    </row>
    <row r="825" spans="3:7" x14ac:dyDescent="0.3">
      <c r="C825" s="39"/>
      <c r="D825" s="35" t="s">
        <v>368</v>
      </c>
      <c r="E825" s="35">
        <v>0.02</v>
      </c>
      <c r="F825" s="35">
        <v>1.25</v>
      </c>
      <c r="G825" s="36">
        <v>8.93</v>
      </c>
    </row>
    <row r="826" spans="3:7" x14ac:dyDescent="0.3">
      <c r="C826" s="39"/>
      <c r="D826" s="35" t="s">
        <v>352</v>
      </c>
      <c r="E826" s="35">
        <v>0.04</v>
      </c>
      <c r="F826" s="35">
        <v>4.5</v>
      </c>
      <c r="G826" s="36">
        <v>13.92</v>
      </c>
    </row>
    <row r="827" spans="3:7" x14ac:dyDescent="0.3">
      <c r="C827" s="39"/>
      <c r="D827" s="35" t="s">
        <v>405</v>
      </c>
      <c r="E827" s="35">
        <v>0.01</v>
      </c>
      <c r="F827" s="35">
        <v>0.5</v>
      </c>
      <c r="G827" s="36">
        <v>6.7</v>
      </c>
    </row>
    <row r="828" spans="3:7" x14ac:dyDescent="0.3">
      <c r="C828" s="39"/>
      <c r="D828" s="35" t="s">
        <v>369</v>
      </c>
      <c r="E828" s="35">
        <v>0.03</v>
      </c>
      <c r="F828" s="35">
        <v>2.5</v>
      </c>
      <c r="G828" s="36">
        <v>12.05</v>
      </c>
    </row>
    <row r="829" spans="3:7" x14ac:dyDescent="0.3">
      <c r="C829" s="39"/>
      <c r="D829" s="35" t="s">
        <v>370</v>
      </c>
      <c r="E829" s="35">
        <v>0.03</v>
      </c>
      <c r="F829" s="35">
        <v>2</v>
      </c>
      <c r="G829" s="36">
        <v>9.49</v>
      </c>
    </row>
    <row r="830" spans="3:7" x14ac:dyDescent="0.3">
      <c r="C830" s="39"/>
      <c r="D830" s="35" t="s">
        <v>406</v>
      </c>
      <c r="E830" s="35">
        <v>0.03</v>
      </c>
      <c r="F830" s="35">
        <v>1.875</v>
      </c>
      <c r="G830" s="36">
        <v>9.85</v>
      </c>
    </row>
    <row r="831" spans="3:7" x14ac:dyDescent="0.3">
      <c r="C831" s="39"/>
      <c r="D831" s="35" t="s">
        <v>407</v>
      </c>
      <c r="E831" s="35">
        <v>0.01</v>
      </c>
      <c r="F831" s="35">
        <v>1.25</v>
      </c>
      <c r="G831" s="36">
        <v>11.89</v>
      </c>
    </row>
    <row r="832" spans="3:7" x14ac:dyDescent="0.3">
      <c r="C832" s="39"/>
      <c r="D832" s="35" t="s">
        <v>408</v>
      </c>
      <c r="E832" s="35">
        <v>0.02</v>
      </c>
      <c r="F832" s="35">
        <v>2.5</v>
      </c>
      <c r="G832" s="36">
        <v>17.38</v>
      </c>
    </row>
    <row r="833" spans="3:7" x14ac:dyDescent="0.3">
      <c r="C833" s="39"/>
      <c r="D833" s="35" t="s">
        <v>371</v>
      </c>
      <c r="E833" s="35">
        <v>0.01</v>
      </c>
      <c r="F833" s="35">
        <v>1.25</v>
      </c>
      <c r="G833" s="36">
        <v>11.38</v>
      </c>
    </row>
    <row r="834" spans="3:7" x14ac:dyDescent="0.3">
      <c r="C834" s="39"/>
      <c r="D834" s="35" t="s">
        <v>409</v>
      </c>
      <c r="E834" s="35">
        <v>0.03</v>
      </c>
      <c r="F834" s="35">
        <v>2.25</v>
      </c>
      <c r="G834" s="36">
        <v>11.23</v>
      </c>
    </row>
    <row r="835" spans="3:7" x14ac:dyDescent="0.3">
      <c r="C835" s="39"/>
      <c r="D835" s="35" t="s">
        <v>410</v>
      </c>
      <c r="E835" s="35">
        <v>0.01</v>
      </c>
      <c r="F835" s="35">
        <v>0.45</v>
      </c>
      <c r="G835" s="36">
        <v>11.61</v>
      </c>
    </row>
    <row r="836" spans="3:7" x14ac:dyDescent="0.3">
      <c r="C836" s="39"/>
      <c r="D836" s="35" t="s">
        <v>411</v>
      </c>
      <c r="E836" s="35">
        <v>0.03</v>
      </c>
      <c r="F836" s="35">
        <v>2.5</v>
      </c>
      <c r="G836" s="36">
        <v>11.51</v>
      </c>
    </row>
    <row r="837" spans="3:7" x14ac:dyDescent="0.3">
      <c r="C837" s="39"/>
      <c r="D837" s="35" t="s">
        <v>412</v>
      </c>
      <c r="E837" s="35">
        <v>0.01</v>
      </c>
      <c r="F837" s="35">
        <v>1</v>
      </c>
      <c r="G837" s="36">
        <v>21.71</v>
      </c>
    </row>
    <row r="838" spans="3:7" x14ac:dyDescent="0.3">
      <c r="C838" s="39"/>
      <c r="D838" s="40" t="s">
        <v>372</v>
      </c>
      <c r="E838" s="40">
        <v>0</v>
      </c>
      <c r="F838" s="40">
        <v>0.4</v>
      </c>
      <c r="G838" s="41">
        <v>17.399999999999999</v>
      </c>
    </row>
    <row r="839" spans="3:7" x14ac:dyDescent="0.3">
      <c r="C839" s="39"/>
      <c r="D839" s="35" t="s">
        <v>420</v>
      </c>
      <c r="E839" s="35">
        <v>0.04</v>
      </c>
      <c r="F839" s="35">
        <v>6.5</v>
      </c>
      <c r="G839" s="36">
        <v>22.36</v>
      </c>
    </row>
    <row r="840" spans="3:7" x14ac:dyDescent="0.3">
      <c r="C840" s="39"/>
      <c r="D840" s="35" t="s">
        <v>373</v>
      </c>
      <c r="E840" s="35">
        <v>0.1</v>
      </c>
      <c r="F840" s="35">
        <v>19.718</v>
      </c>
      <c r="G840" s="36">
        <v>25.76</v>
      </c>
    </row>
    <row r="841" spans="3:7" x14ac:dyDescent="0.3">
      <c r="C841" s="42"/>
      <c r="D841" s="43" t="s">
        <v>385</v>
      </c>
      <c r="E841" s="43">
        <v>0.01</v>
      </c>
      <c r="F841" s="43">
        <v>2</v>
      </c>
      <c r="G841" s="44">
        <v>31.51</v>
      </c>
    </row>
    <row r="845" spans="3:7" x14ac:dyDescent="0.3">
      <c r="C845" s="31" t="s">
        <v>421</v>
      </c>
      <c r="D845" s="32" t="s">
        <v>24</v>
      </c>
      <c r="E845" s="32" t="s">
        <v>10</v>
      </c>
      <c r="F845" s="32" t="s">
        <v>11</v>
      </c>
      <c r="G845" s="33" t="s">
        <v>25</v>
      </c>
    </row>
    <row r="846" spans="3:7" x14ac:dyDescent="0.3">
      <c r="C846" s="34" t="s">
        <v>422</v>
      </c>
      <c r="D846" s="35" t="s">
        <v>423</v>
      </c>
      <c r="E846" s="35">
        <v>0.05</v>
      </c>
      <c r="F846" s="35">
        <v>7</v>
      </c>
      <c r="G846" s="36">
        <v>18.25</v>
      </c>
    </row>
    <row r="847" spans="3:7" x14ac:dyDescent="0.3">
      <c r="C847" s="34" t="s">
        <v>424</v>
      </c>
      <c r="D847" s="35" t="s">
        <v>425</v>
      </c>
      <c r="E847" s="35">
        <v>0.05</v>
      </c>
      <c r="F847" s="35">
        <v>7</v>
      </c>
      <c r="G847" s="36">
        <v>18.25</v>
      </c>
    </row>
    <row r="848" spans="3:7" x14ac:dyDescent="0.3">
      <c r="C848" s="34" t="s">
        <v>319</v>
      </c>
      <c r="D848" s="35" t="s">
        <v>426</v>
      </c>
      <c r="E848" s="35">
        <v>0.03</v>
      </c>
      <c r="F848" s="35">
        <v>4</v>
      </c>
      <c r="G848" s="36">
        <v>18.25</v>
      </c>
    </row>
    <row r="849" spans="3:7" x14ac:dyDescent="0.3">
      <c r="C849" s="39"/>
      <c r="D849" s="35" t="s">
        <v>427</v>
      </c>
      <c r="E849" s="35">
        <v>0.13</v>
      </c>
      <c r="F849" s="35">
        <v>25</v>
      </c>
      <c r="G849" s="36">
        <v>25.61</v>
      </c>
    </row>
    <row r="850" spans="3:7" x14ac:dyDescent="0.3">
      <c r="C850" s="39"/>
      <c r="D850" s="35" t="s">
        <v>359</v>
      </c>
      <c r="E850" s="35">
        <v>0.26</v>
      </c>
      <c r="F850" s="35">
        <v>50.4</v>
      </c>
      <c r="G850" s="36">
        <v>25.46</v>
      </c>
    </row>
    <row r="851" spans="3:7" x14ac:dyDescent="0.3">
      <c r="C851" s="39"/>
      <c r="D851" s="35" t="s">
        <v>360</v>
      </c>
      <c r="E851" s="35">
        <v>0.13</v>
      </c>
      <c r="F851" s="35">
        <v>18.7</v>
      </c>
      <c r="G851" s="36">
        <v>18.77</v>
      </c>
    </row>
    <row r="852" spans="3:7" x14ac:dyDescent="0.3">
      <c r="C852" s="39"/>
      <c r="D852" s="35" t="s">
        <v>400</v>
      </c>
      <c r="E852" s="35">
        <v>0.08</v>
      </c>
      <c r="F852" s="35">
        <v>18</v>
      </c>
      <c r="G852" s="36">
        <v>30.61</v>
      </c>
    </row>
    <row r="853" spans="3:7" x14ac:dyDescent="0.3">
      <c r="C853" s="39"/>
      <c r="D853" s="37" t="s">
        <v>382</v>
      </c>
      <c r="E853" s="37">
        <v>0.27</v>
      </c>
      <c r="F853" s="37">
        <v>68.8</v>
      </c>
      <c r="G853" s="38">
        <v>33.86</v>
      </c>
    </row>
    <row r="854" spans="3:7" x14ac:dyDescent="0.3">
      <c r="C854" s="39"/>
      <c r="D854" s="35" t="s">
        <v>361</v>
      </c>
      <c r="E854" s="35">
        <v>0.3</v>
      </c>
      <c r="F854" s="35">
        <v>37.799999999999997</v>
      </c>
      <c r="G854" s="36">
        <v>16.739999999999998</v>
      </c>
    </row>
    <row r="855" spans="3:7" x14ac:dyDescent="0.3">
      <c r="C855" s="39"/>
      <c r="D855" s="35" t="s">
        <v>428</v>
      </c>
      <c r="E855" s="35">
        <v>0.21</v>
      </c>
      <c r="F855" s="35">
        <v>32</v>
      </c>
      <c r="G855" s="36">
        <v>20.78</v>
      </c>
    </row>
    <row r="856" spans="3:7" x14ac:dyDescent="0.3">
      <c r="C856" s="39"/>
      <c r="D856" s="35" t="s">
        <v>402</v>
      </c>
      <c r="E856" s="35">
        <v>0.05</v>
      </c>
      <c r="F856" s="35">
        <v>5</v>
      </c>
      <c r="G856" s="36">
        <v>13.23</v>
      </c>
    </row>
    <row r="857" spans="3:7" x14ac:dyDescent="0.3">
      <c r="C857" s="39"/>
      <c r="D857" s="35" t="s">
        <v>362</v>
      </c>
      <c r="E857" s="35">
        <v>0.02</v>
      </c>
      <c r="F857" s="35">
        <v>2.15</v>
      </c>
      <c r="G857" s="36">
        <v>18.57</v>
      </c>
    </row>
    <row r="858" spans="3:7" x14ac:dyDescent="0.3">
      <c r="C858" s="39"/>
      <c r="D858" s="35" t="s">
        <v>363</v>
      </c>
      <c r="E858" s="35">
        <v>0.03</v>
      </c>
      <c r="F858" s="35">
        <v>2.5</v>
      </c>
      <c r="G858" s="36">
        <v>13.2</v>
      </c>
    </row>
    <row r="859" spans="3:7" x14ac:dyDescent="0.3">
      <c r="C859" s="39"/>
      <c r="D859" s="35" t="s">
        <v>404</v>
      </c>
      <c r="E859" s="35">
        <v>0.01</v>
      </c>
      <c r="F859" s="35">
        <v>0.75</v>
      </c>
      <c r="G859" s="36">
        <v>8.08</v>
      </c>
    </row>
    <row r="860" spans="3:7" x14ac:dyDescent="0.3">
      <c r="C860" s="39"/>
      <c r="D860" s="35" t="s">
        <v>364</v>
      </c>
      <c r="E860" s="35">
        <v>0.05</v>
      </c>
      <c r="F860" s="35">
        <v>2.4</v>
      </c>
      <c r="G860" s="36">
        <v>6.88</v>
      </c>
    </row>
    <row r="861" spans="3:7" x14ac:dyDescent="0.3">
      <c r="C861" s="39"/>
      <c r="D861" s="35" t="s">
        <v>365</v>
      </c>
      <c r="E861" s="35">
        <v>0.01</v>
      </c>
      <c r="F861" s="35">
        <v>1.125</v>
      </c>
      <c r="G861" s="36">
        <v>19.350000000000001</v>
      </c>
    </row>
    <row r="862" spans="3:7" x14ac:dyDescent="0.3">
      <c r="C862" s="39"/>
      <c r="D862" s="35" t="s">
        <v>350</v>
      </c>
      <c r="E862" s="35">
        <v>0.02</v>
      </c>
      <c r="F862" s="35">
        <v>2.5</v>
      </c>
      <c r="G862" s="36">
        <v>18.739999999999998</v>
      </c>
    </row>
    <row r="863" spans="3:7" x14ac:dyDescent="0.3">
      <c r="C863" s="39"/>
      <c r="D863" s="35" t="s">
        <v>366</v>
      </c>
      <c r="E863" s="35">
        <v>0.03</v>
      </c>
      <c r="F863" s="35">
        <v>2.625</v>
      </c>
      <c r="G863" s="36">
        <v>12.24</v>
      </c>
    </row>
    <row r="864" spans="3:7" x14ac:dyDescent="0.3">
      <c r="C864" s="39"/>
      <c r="D864" s="35" t="s">
        <v>367</v>
      </c>
      <c r="E864" s="35">
        <v>0.03</v>
      </c>
      <c r="F864" s="35">
        <v>2.25</v>
      </c>
      <c r="G864" s="36">
        <v>10.77</v>
      </c>
    </row>
    <row r="865" spans="3:7" x14ac:dyDescent="0.3">
      <c r="C865" s="39"/>
      <c r="D865" s="35" t="s">
        <v>384</v>
      </c>
      <c r="E865" s="35">
        <v>0.01</v>
      </c>
      <c r="F865" s="35">
        <v>1.1000000000000001</v>
      </c>
      <c r="G865" s="36">
        <v>11.31</v>
      </c>
    </row>
    <row r="866" spans="3:7" x14ac:dyDescent="0.3">
      <c r="C866" s="39"/>
      <c r="D866" s="35" t="s">
        <v>368</v>
      </c>
      <c r="E866" s="35">
        <v>0.02</v>
      </c>
      <c r="F866" s="35">
        <v>1.25</v>
      </c>
      <c r="G866" s="36">
        <v>8.93</v>
      </c>
    </row>
    <row r="867" spans="3:7" x14ac:dyDescent="0.3">
      <c r="C867" s="39"/>
      <c r="D867" s="35" t="s">
        <v>352</v>
      </c>
      <c r="E867" s="35">
        <v>0.04</v>
      </c>
      <c r="F867" s="35">
        <v>4.5</v>
      </c>
      <c r="G867" s="36">
        <v>13.92</v>
      </c>
    </row>
    <row r="868" spans="3:7" x14ac:dyDescent="0.3">
      <c r="C868" s="39"/>
      <c r="D868" s="35" t="s">
        <v>405</v>
      </c>
      <c r="E868" s="35">
        <v>0.01</v>
      </c>
      <c r="F868" s="35">
        <v>0.5</v>
      </c>
      <c r="G868" s="36">
        <v>6.7</v>
      </c>
    </row>
    <row r="869" spans="3:7" x14ac:dyDescent="0.3">
      <c r="C869" s="39"/>
      <c r="D869" s="35" t="s">
        <v>369</v>
      </c>
      <c r="E869" s="35">
        <v>0.03</v>
      </c>
      <c r="F869" s="35">
        <v>2.5</v>
      </c>
      <c r="G869" s="36">
        <v>12.05</v>
      </c>
    </row>
    <row r="870" spans="3:7" x14ac:dyDescent="0.3">
      <c r="C870" s="39"/>
      <c r="D870" s="35" t="s">
        <v>370</v>
      </c>
      <c r="E870" s="35">
        <v>0.03</v>
      </c>
      <c r="F870" s="35">
        <v>2</v>
      </c>
      <c r="G870" s="36">
        <v>9.49</v>
      </c>
    </row>
    <row r="871" spans="3:7" x14ac:dyDescent="0.3">
      <c r="C871" s="39"/>
      <c r="D871" s="35" t="s">
        <v>406</v>
      </c>
      <c r="E871" s="35">
        <v>0.03</v>
      </c>
      <c r="F871" s="35">
        <v>1.875</v>
      </c>
      <c r="G871" s="36">
        <v>9.85</v>
      </c>
    </row>
    <row r="872" spans="3:7" x14ac:dyDescent="0.3">
      <c r="C872" s="39"/>
      <c r="D872" s="35" t="s">
        <v>407</v>
      </c>
      <c r="E872" s="35">
        <v>0.01</v>
      </c>
      <c r="F872" s="35">
        <v>1.25</v>
      </c>
      <c r="G872" s="36">
        <v>11.89</v>
      </c>
    </row>
    <row r="873" spans="3:7" x14ac:dyDescent="0.3">
      <c r="C873" s="39"/>
      <c r="D873" s="35" t="s">
        <v>408</v>
      </c>
      <c r="E873" s="35">
        <v>0.02</v>
      </c>
      <c r="F873" s="35">
        <v>2.5</v>
      </c>
      <c r="G873" s="36">
        <v>17.38</v>
      </c>
    </row>
    <row r="874" spans="3:7" x14ac:dyDescent="0.3">
      <c r="C874" s="39"/>
      <c r="D874" s="35" t="s">
        <v>371</v>
      </c>
      <c r="E874" s="35">
        <v>0.01</v>
      </c>
      <c r="F874" s="35">
        <v>1.25</v>
      </c>
      <c r="G874" s="36">
        <v>11.38</v>
      </c>
    </row>
    <row r="875" spans="3:7" x14ac:dyDescent="0.3">
      <c r="C875" s="39"/>
      <c r="D875" s="35" t="s">
        <v>409</v>
      </c>
      <c r="E875" s="35">
        <v>0.03</v>
      </c>
      <c r="F875" s="35">
        <v>2.25</v>
      </c>
      <c r="G875" s="36">
        <v>11.23</v>
      </c>
    </row>
    <row r="876" spans="3:7" x14ac:dyDescent="0.3">
      <c r="C876" s="39"/>
      <c r="D876" s="35" t="s">
        <v>410</v>
      </c>
      <c r="E876" s="35">
        <v>0.01</v>
      </c>
      <c r="F876" s="35">
        <v>0.45</v>
      </c>
      <c r="G876" s="36">
        <v>11.61</v>
      </c>
    </row>
    <row r="877" spans="3:7" x14ac:dyDescent="0.3">
      <c r="C877" s="39"/>
      <c r="D877" s="35" t="s">
        <v>411</v>
      </c>
      <c r="E877" s="35">
        <v>0.03</v>
      </c>
      <c r="F877" s="35">
        <v>2.5</v>
      </c>
      <c r="G877" s="36">
        <v>11.51</v>
      </c>
    </row>
    <row r="878" spans="3:7" x14ac:dyDescent="0.3">
      <c r="C878" s="39"/>
      <c r="D878" s="35" t="s">
        <v>412</v>
      </c>
      <c r="E878" s="35">
        <v>0.01</v>
      </c>
      <c r="F878" s="35">
        <v>1</v>
      </c>
      <c r="G878" s="36">
        <v>21.71</v>
      </c>
    </row>
    <row r="879" spans="3:7" x14ac:dyDescent="0.3">
      <c r="C879" s="39"/>
      <c r="D879" s="40" t="s">
        <v>372</v>
      </c>
      <c r="E879" s="40">
        <v>0</v>
      </c>
      <c r="F879" s="40">
        <v>0.4</v>
      </c>
      <c r="G879" s="41">
        <v>17.399999999999999</v>
      </c>
    </row>
    <row r="880" spans="3:7" x14ac:dyDescent="0.3">
      <c r="C880" s="42"/>
      <c r="D880" s="43" t="s">
        <v>373</v>
      </c>
      <c r="E880" s="43">
        <v>0.01</v>
      </c>
      <c r="F880" s="43">
        <v>2.7</v>
      </c>
      <c r="G880" s="44">
        <v>25.76</v>
      </c>
    </row>
    <row r="884" spans="3:7" x14ac:dyDescent="0.3">
      <c r="C884" s="31" t="s">
        <v>429</v>
      </c>
      <c r="D884" s="32" t="s">
        <v>24</v>
      </c>
      <c r="E884" s="32" t="s">
        <v>10</v>
      </c>
      <c r="F884" s="32" t="s">
        <v>11</v>
      </c>
      <c r="G884" s="33" t="s">
        <v>25</v>
      </c>
    </row>
    <row r="885" spans="3:7" x14ac:dyDescent="0.3">
      <c r="C885" s="34" t="s">
        <v>430</v>
      </c>
      <c r="D885" s="35" t="s">
        <v>324</v>
      </c>
      <c r="E885" s="35">
        <v>0.14000000000000001</v>
      </c>
      <c r="F885" s="35">
        <v>20</v>
      </c>
      <c r="G885" s="36">
        <v>19.32</v>
      </c>
    </row>
    <row r="886" spans="3:7" x14ac:dyDescent="0.3">
      <c r="C886" s="34" t="s">
        <v>431</v>
      </c>
      <c r="D886" s="35" t="s">
        <v>345</v>
      </c>
      <c r="E886" s="35">
        <v>0.34</v>
      </c>
      <c r="F886" s="35">
        <v>40</v>
      </c>
      <c r="G886" s="36">
        <v>15.67</v>
      </c>
    </row>
    <row r="887" spans="3:7" x14ac:dyDescent="0.3">
      <c r="C887" s="34" t="s">
        <v>319</v>
      </c>
      <c r="D887" s="35" t="s">
        <v>398</v>
      </c>
      <c r="E887" s="35">
        <v>0.16</v>
      </c>
      <c r="F887" s="35">
        <v>30</v>
      </c>
      <c r="G887" s="36">
        <v>24.94</v>
      </c>
    </row>
    <row r="888" spans="3:7" x14ac:dyDescent="0.3">
      <c r="C888" s="39"/>
      <c r="D888" s="35" t="s">
        <v>399</v>
      </c>
      <c r="E888" s="35">
        <v>0.2</v>
      </c>
      <c r="F888" s="35">
        <v>25</v>
      </c>
      <c r="G888" s="36">
        <v>16.5</v>
      </c>
    </row>
    <row r="889" spans="3:7" x14ac:dyDescent="0.3">
      <c r="C889" s="39"/>
      <c r="D889" s="35" t="s">
        <v>346</v>
      </c>
      <c r="E889" s="35">
        <v>0.3</v>
      </c>
      <c r="F889" s="35">
        <v>50</v>
      </c>
      <c r="G889" s="36">
        <v>22.41</v>
      </c>
    </row>
    <row r="890" spans="3:7" x14ac:dyDescent="0.3">
      <c r="C890" s="39"/>
      <c r="D890" s="35" t="s">
        <v>432</v>
      </c>
      <c r="E890" s="35">
        <v>0.2</v>
      </c>
      <c r="F890" s="35">
        <v>48</v>
      </c>
      <c r="G890" s="36">
        <v>31.8</v>
      </c>
    </row>
    <row r="891" spans="3:7" x14ac:dyDescent="0.3">
      <c r="C891" s="39"/>
      <c r="D891" s="35" t="s">
        <v>433</v>
      </c>
      <c r="E891" s="35">
        <v>0.06</v>
      </c>
      <c r="F891" s="35">
        <v>12</v>
      </c>
      <c r="G891" s="36">
        <v>28.75</v>
      </c>
    </row>
    <row r="892" spans="3:7" x14ac:dyDescent="0.3">
      <c r="C892" s="39"/>
      <c r="D892" s="35" t="s">
        <v>359</v>
      </c>
      <c r="E892" s="35">
        <v>0.48</v>
      </c>
      <c r="F892" s="35">
        <v>91.44</v>
      </c>
      <c r="G892" s="36">
        <v>25.46</v>
      </c>
    </row>
    <row r="893" spans="3:7" x14ac:dyDescent="0.3">
      <c r="C893" s="39"/>
      <c r="D893" s="35" t="s">
        <v>360</v>
      </c>
      <c r="E893" s="35">
        <v>0.24</v>
      </c>
      <c r="F893" s="35">
        <v>33.659999999999997</v>
      </c>
      <c r="G893" s="36">
        <v>18.77</v>
      </c>
    </row>
    <row r="894" spans="3:7" x14ac:dyDescent="0.3">
      <c r="C894" s="39"/>
      <c r="D894" s="35" t="s">
        <v>400</v>
      </c>
      <c r="E894" s="35">
        <v>0.21</v>
      </c>
      <c r="F894" s="35">
        <v>48</v>
      </c>
      <c r="G894" s="36">
        <v>30.61</v>
      </c>
    </row>
    <row r="895" spans="3:7" x14ac:dyDescent="0.3">
      <c r="C895" s="39"/>
      <c r="D895" s="35" t="s">
        <v>349</v>
      </c>
      <c r="E895" s="35">
        <v>0.24</v>
      </c>
      <c r="F895" s="35">
        <v>44</v>
      </c>
      <c r="G895" s="36">
        <v>24.13</v>
      </c>
    </row>
    <row r="896" spans="3:7" x14ac:dyDescent="0.3">
      <c r="C896" s="39"/>
      <c r="D896" s="35" t="s">
        <v>434</v>
      </c>
      <c r="E896" s="35">
        <v>0.31</v>
      </c>
      <c r="F896" s="35">
        <v>48</v>
      </c>
      <c r="G896" s="36">
        <v>20.88</v>
      </c>
    </row>
    <row r="897" spans="3:7" x14ac:dyDescent="0.3">
      <c r="C897" s="39"/>
      <c r="D897" s="37" t="s">
        <v>382</v>
      </c>
      <c r="E897" s="37">
        <v>0.55000000000000004</v>
      </c>
      <c r="F897" s="37">
        <v>138.46</v>
      </c>
      <c r="G897" s="38">
        <v>33.86</v>
      </c>
    </row>
    <row r="898" spans="3:7" x14ac:dyDescent="0.3">
      <c r="C898" s="39"/>
      <c r="D898" s="35" t="s">
        <v>361</v>
      </c>
      <c r="E898" s="35">
        <v>0.61</v>
      </c>
      <c r="F898" s="35">
        <v>76.44</v>
      </c>
      <c r="G898" s="36">
        <v>16.739999999999998</v>
      </c>
    </row>
    <row r="899" spans="3:7" x14ac:dyDescent="0.3">
      <c r="C899" s="39"/>
      <c r="D899" s="35" t="s">
        <v>402</v>
      </c>
      <c r="E899" s="35">
        <v>0.02</v>
      </c>
      <c r="F899" s="35">
        <v>2</v>
      </c>
      <c r="G899" s="36">
        <v>13.23</v>
      </c>
    </row>
    <row r="900" spans="3:7" x14ac:dyDescent="0.3">
      <c r="C900" s="39"/>
      <c r="D900" s="35" t="s">
        <v>435</v>
      </c>
      <c r="E900" s="35">
        <v>0.01</v>
      </c>
      <c r="F900" s="35">
        <v>0.9</v>
      </c>
      <c r="G900" s="36">
        <v>22.34</v>
      </c>
    </row>
    <row r="901" spans="3:7" x14ac:dyDescent="0.3">
      <c r="C901" s="39"/>
      <c r="D901" s="35" t="s">
        <v>362</v>
      </c>
      <c r="E901" s="35">
        <v>0.01</v>
      </c>
      <c r="F901" s="35">
        <v>1.72</v>
      </c>
      <c r="G901" s="36">
        <v>18.57</v>
      </c>
    </row>
    <row r="902" spans="3:7" x14ac:dyDescent="0.3">
      <c r="C902" s="39"/>
      <c r="D902" s="35" t="s">
        <v>363</v>
      </c>
      <c r="E902" s="35">
        <v>0.02</v>
      </c>
      <c r="F902" s="35">
        <v>2</v>
      </c>
      <c r="G902" s="36">
        <v>13.2</v>
      </c>
    </row>
    <row r="903" spans="3:7" x14ac:dyDescent="0.3">
      <c r="C903" s="39"/>
      <c r="D903" s="35" t="s">
        <v>404</v>
      </c>
      <c r="E903" s="35">
        <v>0.02</v>
      </c>
      <c r="F903" s="35">
        <v>1.2</v>
      </c>
      <c r="G903" s="36">
        <v>8.08</v>
      </c>
    </row>
    <row r="904" spans="3:7" x14ac:dyDescent="0.3">
      <c r="C904" s="39"/>
      <c r="D904" s="35" t="s">
        <v>364</v>
      </c>
      <c r="E904" s="35">
        <v>0.04</v>
      </c>
      <c r="F904" s="35">
        <v>1.92</v>
      </c>
      <c r="G904" s="36">
        <v>6.88</v>
      </c>
    </row>
    <row r="905" spans="3:7" x14ac:dyDescent="0.3">
      <c r="C905" s="39"/>
      <c r="D905" s="35" t="s">
        <v>365</v>
      </c>
      <c r="E905" s="35">
        <v>0.01</v>
      </c>
      <c r="F905" s="35">
        <v>1.8</v>
      </c>
      <c r="G905" s="36">
        <v>19.350000000000001</v>
      </c>
    </row>
    <row r="906" spans="3:7" x14ac:dyDescent="0.3">
      <c r="C906" s="39"/>
      <c r="D906" s="35" t="s">
        <v>350</v>
      </c>
      <c r="E906" s="35">
        <v>0.01</v>
      </c>
      <c r="F906" s="35">
        <v>2</v>
      </c>
      <c r="G906" s="36">
        <v>18.739999999999998</v>
      </c>
    </row>
    <row r="907" spans="3:7" x14ac:dyDescent="0.3">
      <c r="C907" s="39"/>
      <c r="D907" s="35" t="s">
        <v>366</v>
      </c>
      <c r="E907" s="35">
        <v>0.02</v>
      </c>
      <c r="F907" s="35">
        <v>1.4</v>
      </c>
      <c r="G907" s="36">
        <v>12.24</v>
      </c>
    </row>
    <row r="908" spans="3:7" x14ac:dyDescent="0.3">
      <c r="C908" s="39"/>
      <c r="D908" s="35" t="s">
        <v>351</v>
      </c>
      <c r="E908" s="35">
        <v>0.62</v>
      </c>
      <c r="F908" s="35">
        <v>40</v>
      </c>
      <c r="G908" s="36">
        <v>8.67</v>
      </c>
    </row>
    <row r="909" spans="3:7" x14ac:dyDescent="0.3">
      <c r="C909" s="39"/>
      <c r="D909" s="35" t="s">
        <v>436</v>
      </c>
      <c r="E909" s="35">
        <v>0.69</v>
      </c>
      <c r="F909" s="35">
        <v>100</v>
      </c>
      <c r="G909" s="36">
        <v>19.32</v>
      </c>
    </row>
    <row r="910" spans="3:7" x14ac:dyDescent="0.3">
      <c r="C910" s="39"/>
      <c r="D910" s="35" t="s">
        <v>367</v>
      </c>
      <c r="E910" s="35">
        <v>0.02</v>
      </c>
      <c r="F910" s="35">
        <v>1.8</v>
      </c>
      <c r="G910" s="36">
        <v>10.77</v>
      </c>
    </row>
    <row r="911" spans="3:7" x14ac:dyDescent="0.3">
      <c r="C911" s="39"/>
      <c r="D911" s="35" t="s">
        <v>384</v>
      </c>
      <c r="E911" s="35">
        <v>0.01</v>
      </c>
      <c r="F911" s="35">
        <v>0.88</v>
      </c>
      <c r="G911" s="36">
        <v>11.31</v>
      </c>
    </row>
    <row r="912" spans="3:7" x14ac:dyDescent="0.3">
      <c r="C912" s="39"/>
      <c r="D912" s="35" t="s">
        <v>368</v>
      </c>
      <c r="E912" s="35">
        <v>0.01</v>
      </c>
      <c r="F912" s="35">
        <v>1</v>
      </c>
      <c r="G912" s="36">
        <v>8.93</v>
      </c>
    </row>
    <row r="913" spans="3:7" x14ac:dyDescent="0.3">
      <c r="C913" s="39"/>
      <c r="D913" s="35" t="s">
        <v>352</v>
      </c>
      <c r="E913" s="35">
        <v>0.03</v>
      </c>
      <c r="F913" s="35">
        <v>3.6</v>
      </c>
      <c r="G913" s="36">
        <v>13.92</v>
      </c>
    </row>
    <row r="914" spans="3:7" x14ac:dyDescent="0.3">
      <c r="C914" s="39"/>
      <c r="D914" s="35" t="s">
        <v>405</v>
      </c>
      <c r="E914" s="35">
        <v>0.02</v>
      </c>
      <c r="F914" s="35">
        <v>0.8</v>
      </c>
      <c r="G914" s="36">
        <v>6.7</v>
      </c>
    </row>
    <row r="915" spans="3:7" x14ac:dyDescent="0.3">
      <c r="C915" s="39"/>
      <c r="D915" s="35" t="s">
        <v>369</v>
      </c>
      <c r="E915" s="35">
        <v>0.02</v>
      </c>
      <c r="F915" s="35">
        <v>2</v>
      </c>
      <c r="G915" s="36">
        <v>12.05</v>
      </c>
    </row>
    <row r="916" spans="3:7" x14ac:dyDescent="0.3">
      <c r="C916" s="39"/>
      <c r="D916" s="35" t="s">
        <v>370</v>
      </c>
      <c r="E916" s="35">
        <v>0.04</v>
      </c>
      <c r="F916" s="35">
        <v>3.2</v>
      </c>
      <c r="G916" s="36">
        <v>9.49</v>
      </c>
    </row>
    <row r="917" spans="3:7" x14ac:dyDescent="0.3">
      <c r="C917" s="39"/>
      <c r="D917" s="35" t="s">
        <v>407</v>
      </c>
      <c r="E917" s="35">
        <v>0.01</v>
      </c>
      <c r="F917" s="35">
        <v>1</v>
      </c>
      <c r="G917" s="36">
        <v>11.89</v>
      </c>
    </row>
    <row r="918" spans="3:7" x14ac:dyDescent="0.3">
      <c r="C918" s="39"/>
      <c r="D918" s="35" t="s">
        <v>371</v>
      </c>
      <c r="E918" s="35">
        <v>0.01</v>
      </c>
      <c r="F918" s="35">
        <v>0.5</v>
      </c>
      <c r="G918" s="36">
        <v>11.38</v>
      </c>
    </row>
    <row r="919" spans="3:7" x14ac:dyDescent="0.3">
      <c r="C919" s="39"/>
      <c r="D919" s="35" t="s">
        <v>409</v>
      </c>
      <c r="E919" s="35">
        <v>0.02</v>
      </c>
      <c r="F919" s="35">
        <v>1.8</v>
      </c>
      <c r="G919" s="36">
        <v>11.23</v>
      </c>
    </row>
    <row r="920" spans="3:7" x14ac:dyDescent="0.3">
      <c r="C920" s="39"/>
      <c r="D920" s="35" t="s">
        <v>437</v>
      </c>
      <c r="E920" s="35">
        <v>0.04</v>
      </c>
      <c r="F920" s="35">
        <v>1</v>
      </c>
      <c r="G920" s="36">
        <v>3.29</v>
      </c>
    </row>
    <row r="921" spans="3:7" x14ac:dyDescent="0.3">
      <c r="C921" s="39"/>
      <c r="D921" s="35" t="s">
        <v>410</v>
      </c>
      <c r="E921" s="35">
        <v>0</v>
      </c>
      <c r="F921" s="35">
        <v>0.36</v>
      </c>
      <c r="G921" s="36">
        <v>11.61</v>
      </c>
    </row>
    <row r="922" spans="3:7" x14ac:dyDescent="0.3">
      <c r="C922" s="39"/>
      <c r="D922" s="35" t="s">
        <v>412</v>
      </c>
      <c r="E922" s="35">
        <v>0</v>
      </c>
      <c r="F922" s="35">
        <v>0.8</v>
      </c>
      <c r="G922" s="36">
        <v>21.71</v>
      </c>
    </row>
    <row r="923" spans="3:7" x14ac:dyDescent="0.3">
      <c r="C923" s="39"/>
      <c r="D923" s="40" t="s">
        <v>372</v>
      </c>
      <c r="E923" s="40">
        <v>0</v>
      </c>
      <c r="F923" s="40">
        <v>0.32</v>
      </c>
      <c r="G923" s="41">
        <v>17.399999999999999</v>
      </c>
    </row>
    <row r="924" spans="3:7" x14ac:dyDescent="0.3">
      <c r="C924" s="39"/>
      <c r="D924" s="35" t="s">
        <v>373</v>
      </c>
      <c r="E924" s="35">
        <v>0.06</v>
      </c>
      <c r="F924" s="35">
        <v>12.044</v>
      </c>
      <c r="G924" s="36">
        <v>25.76</v>
      </c>
    </row>
    <row r="925" spans="3:7" x14ac:dyDescent="0.3">
      <c r="C925" s="42"/>
      <c r="D925" s="43" t="s">
        <v>385</v>
      </c>
      <c r="E925" s="43">
        <v>0</v>
      </c>
      <c r="F925" s="43">
        <v>1</v>
      </c>
      <c r="G925" s="44">
        <v>31.51</v>
      </c>
    </row>
    <row r="929" spans="3:7" x14ac:dyDescent="0.3">
      <c r="C929" s="31" t="s">
        <v>438</v>
      </c>
      <c r="D929" s="32" t="s">
        <v>24</v>
      </c>
      <c r="E929" s="32" t="s">
        <v>10</v>
      </c>
      <c r="F929" s="32" t="s">
        <v>11</v>
      </c>
      <c r="G929" s="33" t="s">
        <v>25</v>
      </c>
    </row>
    <row r="930" spans="3:7" x14ac:dyDescent="0.3">
      <c r="C930" s="34" t="s">
        <v>439</v>
      </c>
      <c r="D930" s="35" t="s">
        <v>440</v>
      </c>
      <c r="E930" s="35">
        <v>0.08</v>
      </c>
      <c r="F930" s="35">
        <v>12</v>
      </c>
      <c r="G930" s="36">
        <v>20.23</v>
      </c>
    </row>
    <row r="931" spans="3:7" x14ac:dyDescent="0.3">
      <c r="C931" s="34" t="s">
        <v>441</v>
      </c>
      <c r="D931" s="35" t="s">
        <v>442</v>
      </c>
      <c r="E931" s="35">
        <v>0.09</v>
      </c>
      <c r="F931" s="35">
        <v>12</v>
      </c>
      <c r="G931" s="36">
        <v>17.64</v>
      </c>
    </row>
    <row r="932" spans="3:7" x14ac:dyDescent="0.3">
      <c r="C932" s="34" t="s">
        <v>319</v>
      </c>
      <c r="D932" s="35" t="s">
        <v>395</v>
      </c>
      <c r="E932" s="35">
        <v>0.14000000000000001</v>
      </c>
      <c r="F932" s="35">
        <v>15</v>
      </c>
      <c r="G932" s="36">
        <v>14.35</v>
      </c>
    </row>
    <row r="933" spans="3:7" x14ac:dyDescent="0.3">
      <c r="C933" s="39"/>
      <c r="D933" s="35" t="s">
        <v>396</v>
      </c>
      <c r="E933" s="35">
        <v>0.25</v>
      </c>
      <c r="F933" s="35">
        <v>30</v>
      </c>
      <c r="G933" s="36">
        <v>16.28</v>
      </c>
    </row>
    <row r="934" spans="3:7" x14ac:dyDescent="0.3">
      <c r="C934" s="39"/>
      <c r="D934" s="35" t="s">
        <v>397</v>
      </c>
      <c r="E934" s="35">
        <v>0.14000000000000001</v>
      </c>
      <c r="F934" s="35">
        <v>15</v>
      </c>
      <c r="G934" s="36">
        <v>14.62</v>
      </c>
    </row>
    <row r="935" spans="3:7" x14ac:dyDescent="0.3">
      <c r="C935" s="39"/>
      <c r="D935" s="35" t="s">
        <v>346</v>
      </c>
      <c r="E935" s="35">
        <v>0.3</v>
      </c>
      <c r="F935" s="35">
        <v>50</v>
      </c>
      <c r="G935" s="36">
        <v>22.41</v>
      </c>
    </row>
    <row r="936" spans="3:7" x14ac:dyDescent="0.3">
      <c r="C936" s="39"/>
      <c r="D936" s="35" t="s">
        <v>359</v>
      </c>
      <c r="E936" s="35">
        <v>0.21</v>
      </c>
      <c r="F936" s="35">
        <v>41.04</v>
      </c>
      <c r="G936" s="36">
        <v>25.46</v>
      </c>
    </row>
    <row r="937" spans="3:7" x14ac:dyDescent="0.3">
      <c r="C937" s="39"/>
      <c r="D937" s="35" t="s">
        <v>360</v>
      </c>
      <c r="E937" s="35">
        <v>0.11</v>
      </c>
      <c r="F937" s="35">
        <v>14.96</v>
      </c>
      <c r="G937" s="36">
        <v>18.77</v>
      </c>
    </row>
    <row r="938" spans="3:7" x14ac:dyDescent="0.3">
      <c r="C938" s="39"/>
      <c r="D938" s="35" t="s">
        <v>349</v>
      </c>
      <c r="E938" s="35">
        <v>0.24</v>
      </c>
      <c r="F938" s="35">
        <v>44</v>
      </c>
      <c r="G938" s="36">
        <v>24.13</v>
      </c>
    </row>
    <row r="939" spans="3:7" x14ac:dyDescent="0.3">
      <c r="C939" s="39"/>
      <c r="D939" s="37" t="s">
        <v>382</v>
      </c>
      <c r="E939" s="37">
        <v>0.27</v>
      </c>
      <c r="F939" s="37">
        <v>69.66</v>
      </c>
      <c r="G939" s="38">
        <v>33.86</v>
      </c>
    </row>
    <row r="940" spans="3:7" x14ac:dyDescent="0.3">
      <c r="C940" s="39"/>
      <c r="D940" s="35" t="s">
        <v>361</v>
      </c>
      <c r="E940" s="35">
        <v>0.34</v>
      </c>
      <c r="F940" s="35">
        <v>42.84</v>
      </c>
      <c r="G940" s="36">
        <v>16.739999999999998</v>
      </c>
    </row>
    <row r="941" spans="3:7" x14ac:dyDescent="0.3">
      <c r="C941" s="39"/>
      <c r="D941" s="35" t="s">
        <v>402</v>
      </c>
      <c r="E941" s="35">
        <v>0.02</v>
      </c>
      <c r="F941" s="35">
        <v>2</v>
      </c>
      <c r="G941" s="36">
        <v>13.23</v>
      </c>
    </row>
    <row r="942" spans="3:7" x14ac:dyDescent="0.3">
      <c r="C942" s="39"/>
      <c r="D942" s="35" t="s">
        <v>435</v>
      </c>
      <c r="E942" s="35">
        <v>0.01</v>
      </c>
      <c r="F942" s="35">
        <v>0.9</v>
      </c>
      <c r="G942" s="36">
        <v>22.34</v>
      </c>
    </row>
    <row r="943" spans="3:7" x14ac:dyDescent="0.3">
      <c r="C943" s="39"/>
      <c r="D943" s="35" t="s">
        <v>362</v>
      </c>
      <c r="E943" s="35">
        <v>0.01</v>
      </c>
      <c r="F943" s="35">
        <v>1.72</v>
      </c>
      <c r="G943" s="36">
        <v>18.57</v>
      </c>
    </row>
    <row r="944" spans="3:7" x14ac:dyDescent="0.3">
      <c r="C944" s="39"/>
      <c r="D944" s="35" t="s">
        <v>363</v>
      </c>
      <c r="E944" s="35">
        <v>0.02</v>
      </c>
      <c r="F944" s="35">
        <v>2</v>
      </c>
      <c r="G944" s="36">
        <v>13.2</v>
      </c>
    </row>
    <row r="945" spans="3:7" x14ac:dyDescent="0.3">
      <c r="C945" s="39"/>
      <c r="D945" s="35" t="s">
        <v>404</v>
      </c>
      <c r="E945" s="35">
        <v>0.02</v>
      </c>
      <c r="F945" s="35">
        <v>1.2</v>
      </c>
      <c r="G945" s="36">
        <v>8.08</v>
      </c>
    </row>
    <row r="946" spans="3:7" x14ac:dyDescent="0.3">
      <c r="C946" s="39"/>
      <c r="D946" s="35" t="s">
        <v>364</v>
      </c>
      <c r="E946" s="35">
        <v>0.04</v>
      </c>
      <c r="F946" s="35">
        <v>1.92</v>
      </c>
      <c r="G946" s="36">
        <v>6.88</v>
      </c>
    </row>
    <row r="947" spans="3:7" x14ac:dyDescent="0.3">
      <c r="C947" s="39"/>
      <c r="D947" s="35" t="s">
        <v>365</v>
      </c>
      <c r="E947" s="35">
        <v>0.01</v>
      </c>
      <c r="F947" s="35">
        <v>1.8</v>
      </c>
      <c r="G947" s="36">
        <v>19.350000000000001</v>
      </c>
    </row>
    <row r="948" spans="3:7" x14ac:dyDescent="0.3">
      <c r="C948" s="39"/>
      <c r="D948" s="35" t="s">
        <v>350</v>
      </c>
      <c r="E948" s="35">
        <v>0.01</v>
      </c>
      <c r="F948" s="35">
        <v>2</v>
      </c>
      <c r="G948" s="36">
        <v>18.739999999999998</v>
      </c>
    </row>
    <row r="949" spans="3:7" x14ac:dyDescent="0.3">
      <c r="C949" s="39"/>
      <c r="D949" s="35" t="s">
        <v>366</v>
      </c>
      <c r="E949" s="35">
        <v>0.02</v>
      </c>
      <c r="F949" s="35">
        <v>1.4</v>
      </c>
      <c r="G949" s="36">
        <v>12.24</v>
      </c>
    </row>
    <row r="950" spans="3:7" x14ac:dyDescent="0.3">
      <c r="C950" s="39"/>
      <c r="D950" s="35" t="s">
        <v>367</v>
      </c>
      <c r="E950" s="35">
        <v>0.02</v>
      </c>
      <c r="F950" s="35">
        <v>1.8</v>
      </c>
      <c r="G950" s="36">
        <v>10.77</v>
      </c>
    </row>
    <row r="951" spans="3:7" x14ac:dyDescent="0.3">
      <c r="C951" s="39"/>
      <c r="D951" s="35" t="s">
        <v>384</v>
      </c>
      <c r="E951" s="35">
        <v>0.01</v>
      </c>
      <c r="F951" s="35">
        <v>0.88</v>
      </c>
      <c r="G951" s="36">
        <v>11.31</v>
      </c>
    </row>
    <row r="952" spans="3:7" x14ac:dyDescent="0.3">
      <c r="C952" s="39"/>
      <c r="D952" s="35" t="s">
        <v>368</v>
      </c>
      <c r="E952" s="35">
        <v>0.01</v>
      </c>
      <c r="F952" s="35">
        <v>1</v>
      </c>
      <c r="G952" s="36">
        <v>8.93</v>
      </c>
    </row>
    <row r="953" spans="3:7" x14ac:dyDescent="0.3">
      <c r="C953" s="39"/>
      <c r="D953" s="35" t="s">
        <v>352</v>
      </c>
      <c r="E953" s="35">
        <v>0.03</v>
      </c>
      <c r="F953" s="35">
        <v>3.6</v>
      </c>
      <c r="G953" s="36">
        <v>13.92</v>
      </c>
    </row>
    <row r="954" spans="3:7" x14ac:dyDescent="0.3">
      <c r="C954" s="39"/>
      <c r="D954" s="35" t="s">
        <v>405</v>
      </c>
      <c r="E954" s="35">
        <v>0.02</v>
      </c>
      <c r="F954" s="35">
        <v>0.8</v>
      </c>
      <c r="G954" s="36">
        <v>6.7</v>
      </c>
    </row>
    <row r="955" spans="3:7" x14ac:dyDescent="0.3">
      <c r="C955" s="39"/>
      <c r="D955" s="35" t="s">
        <v>369</v>
      </c>
      <c r="E955" s="35">
        <v>0.02</v>
      </c>
      <c r="F955" s="35">
        <v>2</v>
      </c>
      <c r="G955" s="36">
        <v>12.05</v>
      </c>
    </row>
    <row r="956" spans="3:7" x14ac:dyDescent="0.3">
      <c r="C956" s="39"/>
      <c r="D956" s="35" t="s">
        <v>370</v>
      </c>
      <c r="E956" s="35">
        <v>0.04</v>
      </c>
      <c r="F956" s="35">
        <v>3.2</v>
      </c>
      <c r="G956" s="36">
        <v>9.49</v>
      </c>
    </row>
    <row r="957" spans="3:7" x14ac:dyDescent="0.3">
      <c r="C957" s="39"/>
      <c r="D957" s="35" t="s">
        <v>407</v>
      </c>
      <c r="E957" s="35">
        <v>0.01</v>
      </c>
      <c r="F957" s="35">
        <v>1</v>
      </c>
      <c r="G957" s="36">
        <v>11.89</v>
      </c>
    </row>
    <row r="958" spans="3:7" x14ac:dyDescent="0.3">
      <c r="C958" s="39"/>
      <c r="D958" s="35" t="s">
        <v>371</v>
      </c>
      <c r="E958" s="35">
        <v>0.01</v>
      </c>
      <c r="F958" s="35">
        <v>0.5</v>
      </c>
      <c r="G958" s="36">
        <v>11.38</v>
      </c>
    </row>
    <row r="959" spans="3:7" x14ac:dyDescent="0.3">
      <c r="C959" s="39"/>
      <c r="D959" s="35" t="s">
        <v>409</v>
      </c>
      <c r="E959" s="35">
        <v>0.02</v>
      </c>
      <c r="F959" s="35">
        <v>1.8</v>
      </c>
      <c r="G959" s="36">
        <v>11.23</v>
      </c>
    </row>
    <row r="960" spans="3:7" x14ac:dyDescent="0.3">
      <c r="C960" s="39"/>
      <c r="D960" s="35" t="s">
        <v>437</v>
      </c>
      <c r="E960" s="35">
        <v>0.04</v>
      </c>
      <c r="F960" s="35">
        <v>1</v>
      </c>
      <c r="G960" s="36">
        <v>3.29</v>
      </c>
    </row>
    <row r="961" spans="3:7" x14ac:dyDescent="0.3">
      <c r="C961" s="39"/>
      <c r="D961" s="35" t="s">
        <v>410</v>
      </c>
      <c r="E961" s="35">
        <v>0</v>
      </c>
      <c r="F961" s="35">
        <v>0.36</v>
      </c>
      <c r="G961" s="36">
        <v>11.61</v>
      </c>
    </row>
    <row r="962" spans="3:7" x14ac:dyDescent="0.3">
      <c r="C962" s="39"/>
      <c r="D962" s="35" t="s">
        <v>412</v>
      </c>
      <c r="E962" s="35">
        <v>0</v>
      </c>
      <c r="F962" s="35">
        <v>0.8</v>
      </c>
      <c r="G962" s="36">
        <v>21.71</v>
      </c>
    </row>
    <row r="963" spans="3:7" x14ac:dyDescent="0.3">
      <c r="C963" s="39"/>
      <c r="D963" s="40" t="s">
        <v>372</v>
      </c>
      <c r="E963" s="40">
        <v>0</v>
      </c>
      <c r="F963" s="40">
        <v>0.32</v>
      </c>
      <c r="G963" s="41">
        <v>17.399999999999999</v>
      </c>
    </row>
    <row r="964" spans="3:7" x14ac:dyDescent="0.3">
      <c r="C964" s="39"/>
      <c r="D964" s="35" t="s">
        <v>420</v>
      </c>
      <c r="E964" s="35">
        <v>0.04</v>
      </c>
      <c r="F964" s="35">
        <v>6.5</v>
      </c>
      <c r="G964" s="36">
        <v>22.36</v>
      </c>
    </row>
    <row r="965" spans="3:7" x14ac:dyDescent="0.3">
      <c r="C965" s="39"/>
      <c r="D965" s="35" t="s">
        <v>373</v>
      </c>
      <c r="E965" s="35">
        <v>0.06</v>
      </c>
      <c r="F965" s="35">
        <v>11.034000000000001</v>
      </c>
      <c r="G965" s="36">
        <v>25.76</v>
      </c>
    </row>
    <row r="966" spans="3:7" x14ac:dyDescent="0.3">
      <c r="C966" s="42"/>
      <c r="D966" s="43" t="s">
        <v>385</v>
      </c>
      <c r="E966" s="43">
        <v>0</v>
      </c>
      <c r="F966" s="43">
        <v>1</v>
      </c>
      <c r="G966" s="44">
        <v>31.51</v>
      </c>
    </row>
    <row r="970" spans="3:7" x14ac:dyDescent="0.3">
      <c r="C970" s="31" t="s">
        <v>443</v>
      </c>
      <c r="D970" s="32" t="s">
        <v>24</v>
      </c>
      <c r="E970" s="32" t="s">
        <v>10</v>
      </c>
      <c r="F970" s="32" t="s">
        <v>11</v>
      </c>
      <c r="G970" s="33" t="s">
        <v>25</v>
      </c>
    </row>
    <row r="971" spans="3:7" x14ac:dyDescent="0.3">
      <c r="C971" s="34" t="s">
        <v>444</v>
      </c>
      <c r="D971" s="35" t="s">
        <v>445</v>
      </c>
      <c r="E971" s="35">
        <v>0.14000000000000001</v>
      </c>
      <c r="F971" s="35">
        <v>20</v>
      </c>
      <c r="G971" s="36">
        <v>18.91</v>
      </c>
    </row>
    <row r="972" spans="3:7" x14ac:dyDescent="0.3">
      <c r="C972" s="34" t="s">
        <v>446</v>
      </c>
      <c r="D972" s="35" t="s">
        <v>399</v>
      </c>
      <c r="E972" s="35">
        <v>0.2</v>
      </c>
      <c r="F972" s="35">
        <v>25</v>
      </c>
      <c r="G972" s="36">
        <v>16.5</v>
      </c>
    </row>
    <row r="973" spans="3:7" x14ac:dyDescent="0.3">
      <c r="C973" s="34" t="s">
        <v>319</v>
      </c>
      <c r="D973" s="35" t="s">
        <v>346</v>
      </c>
      <c r="E973" s="35">
        <v>0.3</v>
      </c>
      <c r="F973" s="35">
        <v>50</v>
      </c>
      <c r="G973" s="36">
        <v>22.41</v>
      </c>
    </row>
    <row r="974" spans="3:7" x14ac:dyDescent="0.3">
      <c r="C974" s="39"/>
      <c r="D974" s="35" t="s">
        <v>427</v>
      </c>
      <c r="E974" s="35">
        <v>0.13</v>
      </c>
      <c r="F974" s="35">
        <v>25</v>
      </c>
      <c r="G974" s="36">
        <v>25.61</v>
      </c>
    </row>
    <row r="975" spans="3:7" x14ac:dyDescent="0.3">
      <c r="C975" s="39"/>
      <c r="D975" s="35" t="s">
        <v>359</v>
      </c>
      <c r="E975" s="35">
        <v>0.21</v>
      </c>
      <c r="F975" s="35">
        <v>41.04</v>
      </c>
      <c r="G975" s="36">
        <v>25.46</v>
      </c>
    </row>
    <row r="976" spans="3:7" x14ac:dyDescent="0.3">
      <c r="C976" s="39"/>
      <c r="D976" s="35" t="s">
        <v>360</v>
      </c>
      <c r="E976" s="35">
        <v>0.11</v>
      </c>
      <c r="F976" s="35">
        <v>14.96</v>
      </c>
      <c r="G976" s="36">
        <v>18.77</v>
      </c>
    </row>
    <row r="977" spans="3:7" x14ac:dyDescent="0.3">
      <c r="C977" s="39"/>
      <c r="D977" s="35" t="s">
        <v>400</v>
      </c>
      <c r="E977" s="35">
        <v>0.08</v>
      </c>
      <c r="F977" s="35">
        <v>18</v>
      </c>
      <c r="G977" s="36">
        <v>30.61</v>
      </c>
    </row>
    <row r="978" spans="3:7" x14ac:dyDescent="0.3">
      <c r="C978" s="39"/>
      <c r="D978" s="35" t="s">
        <v>349</v>
      </c>
      <c r="E978" s="35">
        <v>0.24</v>
      </c>
      <c r="F978" s="35">
        <v>44</v>
      </c>
      <c r="G978" s="36">
        <v>24.13</v>
      </c>
    </row>
    <row r="979" spans="3:7" x14ac:dyDescent="0.3">
      <c r="C979" s="39"/>
      <c r="D979" s="37" t="s">
        <v>382</v>
      </c>
      <c r="E979" s="37">
        <v>0.27</v>
      </c>
      <c r="F979" s="37">
        <v>69.66</v>
      </c>
      <c r="G979" s="38">
        <v>33.86</v>
      </c>
    </row>
    <row r="980" spans="3:7" x14ac:dyDescent="0.3">
      <c r="C980" s="39"/>
      <c r="D980" s="35" t="s">
        <v>361</v>
      </c>
      <c r="E980" s="35">
        <v>0.34</v>
      </c>
      <c r="F980" s="35">
        <v>42.84</v>
      </c>
      <c r="G980" s="36">
        <v>16.739999999999998</v>
      </c>
    </row>
    <row r="981" spans="3:7" x14ac:dyDescent="0.3">
      <c r="C981" s="39"/>
      <c r="D981" s="35" t="s">
        <v>402</v>
      </c>
      <c r="E981" s="35">
        <v>0.02</v>
      </c>
      <c r="F981" s="35">
        <v>2</v>
      </c>
      <c r="G981" s="36">
        <v>13.23</v>
      </c>
    </row>
    <row r="982" spans="3:7" x14ac:dyDescent="0.3">
      <c r="C982" s="39"/>
      <c r="D982" s="35" t="s">
        <v>435</v>
      </c>
      <c r="E982" s="35">
        <v>0.01</v>
      </c>
      <c r="F982" s="35">
        <v>0.9</v>
      </c>
      <c r="G982" s="36">
        <v>22.34</v>
      </c>
    </row>
    <row r="983" spans="3:7" x14ac:dyDescent="0.3">
      <c r="C983" s="39"/>
      <c r="D983" s="35" t="s">
        <v>362</v>
      </c>
      <c r="E983" s="35">
        <v>0.01</v>
      </c>
      <c r="F983" s="35">
        <v>1.72</v>
      </c>
      <c r="G983" s="36">
        <v>18.57</v>
      </c>
    </row>
    <row r="984" spans="3:7" x14ac:dyDescent="0.3">
      <c r="C984" s="39"/>
      <c r="D984" s="35" t="s">
        <v>363</v>
      </c>
      <c r="E984" s="35">
        <v>0.02</v>
      </c>
      <c r="F984" s="35">
        <v>2</v>
      </c>
      <c r="G984" s="36">
        <v>13.2</v>
      </c>
    </row>
    <row r="985" spans="3:7" x14ac:dyDescent="0.3">
      <c r="C985" s="39"/>
      <c r="D985" s="35" t="s">
        <v>404</v>
      </c>
      <c r="E985" s="35">
        <v>0.02</v>
      </c>
      <c r="F985" s="35">
        <v>1.2</v>
      </c>
      <c r="G985" s="36">
        <v>8.08</v>
      </c>
    </row>
    <row r="986" spans="3:7" x14ac:dyDescent="0.3">
      <c r="C986" s="39"/>
      <c r="D986" s="35" t="s">
        <v>364</v>
      </c>
      <c r="E986" s="35">
        <v>0.04</v>
      </c>
      <c r="F986" s="35">
        <v>1.92</v>
      </c>
      <c r="G986" s="36">
        <v>6.88</v>
      </c>
    </row>
    <row r="987" spans="3:7" x14ac:dyDescent="0.3">
      <c r="C987" s="39"/>
      <c r="D987" s="35" t="s">
        <v>365</v>
      </c>
      <c r="E987" s="35">
        <v>0.01</v>
      </c>
      <c r="F987" s="35">
        <v>1.8</v>
      </c>
      <c r="G987" s="36">
        <v>19.350000000000001</v>
      </c>
    </row>
    <row r="988" spans="3:7" x14ac:dyDescent="0.3">
      <c r="C988" s="39"/>
      <c r="D988" s="35" t="s">
        <v>350</v>
      </c>
      <c r="E988" s="35">
        <v>0.01</v>
      </c>
      <c r="F988" s="35">
        <v>2</v>
      </c>
      <c r="G988" s="36">
        <v>18.739999999999998</v>
      </c>
    </row>
    <row r="989" spans="3:7" x14ac:dyDescent="0.3">
      <c r="C989" s="39"/>
      <c r="D989" s="35" t="s">
        <v>366</v>
      </c>
      <c r="E989" s="35">
        <v>0.02</v>
      </c>
      <c r="F989" s="35">
        <v>1.4</v>
      </c>
      <c r="G989" s="36">
        <v>12.24</v>
      </c>
    </row>
    <row r="990" spans="3:7" x14ac:dyDescent="0.3">
      <c r="C990" s="39"/>
      <c r="D990" s="35" t="s">
        <v>367</v>
      </c>
      <c r="E990" s="35">
        <v>0.02</v>
      </c>
      <c r="F990" s="35">
        <v>1.8</v>
      </c>
      <c r="G990" s="36">
        <v>10.77</v>
      </c>
    </row>
    <row r="991" spans="3:7" x14ac:dyDescent="0.3">
      <c r="C991" s="39"/>
      <c r="D991" s="35" t="s">
        <v>384</v>
      </c>
      <c r="E991" s="35">
        <v>0.01</v>
      </c>
      <c r="F991" s="35">
        <v>0.88</v>
      </c>
      <c r="G991" s="36">
        <v>11.31</v>
      </c>
    </row>
    <row r="992" spans="3:7" x14ac:dyDescent="0.3">
      <c r="C992" s="39"/>
      <c r="D992" s="35" t="s">
        <v>368</v>
      </c>
      <c r="E992" s="35">
        <v>0.01</v>
      </c>
      <c r="F992" s="35">
        <v>1</v>
      </c>
      <c r="G992" s="36">
        <v>8.93</v>
      </c>
    </row>
    <row r="993" spans="3:7" x14ac:dyDescent="0.3">
      <c r="C993" s="39"/>
      <c r="D993" s="35" t="s">
        <v>352</v>
      </c>
      <c r="E993" s="35">
        <v>0.03</v>
      </c>
      <c r="F993" s="35">
        <v>3.6</v>
      </c>
      <c r="G993" s="36">
        <v>13.92</v>
      </c>
    </row>
    <row r="994" spans="3:7" x14ac:dyDescent="0.3">
      <c r="C994" s="39"/>
      <c r="D994" s="35" t="s">
        <v>405</v>
      </c>
      <c r="E994" s="35">
        <v>0.02</v>
      </c>
      <c r="F994" s="35">
        <v>0.8</v>
      </c>
      <c r="G994" s="36">
        <v>6.7</v>
      </c>
    </row>
    <row r="995" spans="3:7" x14ac:dyDescent="0.3">
      <c r="C995" s="39"/>
      <c r="D995" s="35" t="s">
        <v>369</v>
      </c>
      <c r="E995" s="35">
        <v>0.02</v>
      </c>
      <c r="F995" s="35">
        <v>2</v>
      </c>
      <c r="G995" s="36">
        <v>12.05</v>
      </c>
    </row>
    <row r="996" spans="3:7" x14ac:dyDescent="0.3">
      <c r="C996" s="39"/>
      <c r="D996" s="35" t="s">
        <v>370</v>
      </c>
      <c r="E996" s="35">
        <v>0.04</v>
      </c>
      <c r="F996" s="35">
        <v>3.2</v>
      </c>
      <c r="G996" s="36">
        <v>9.49</v>
      </c>
    </row>
    <row r="997" spans="3:7" x14ac:dyDescent="0.3">
      <c r="C997" s="39"/>
      <c r="D997" s="35" t="s">
        <v>407</v>
      </c>
      <c r="E997" s="35">
        <v>0.01</v>
      </c>
      <c r="F997" s="35">
        <v>1</v>
      </c>
      <c r="G997" s="36">
        <v>11.89</v>
      </c>
    </row>
    <row r="998" spans="3:7" x14ac:dyDescent="0.3">
      <c r="C998" s="39"/>
      <c r="D998" s="35" t="s">
        <v>371</v>
      </c>
      <c r="E998" s="35">
        <v>0.01</v>
      </c>
      <c r="F998" s="35">
        <v>0.5</v>
      </c>
      <c r="G998" s="36">
        <v>11.38</v>
      </c>
    </row>
    <row r="999" spans="3:7" x14ac:dyDescent="0.3">
      <c r="C999" s="39"/>
      <c r="D999" s="35" t="s">
        <v>409</v>
      </c>
      <c r="E999" s="35">
        <v>0.02</v>
      </c>
      <c r="F999" s="35">
        <v>1.8</v>
      </c>
      <c r="G999" s="36">
        <v>11.23</v>
      </c>
    </row>
    <row r="1000" spans="3:7" x14ac:dyDescent="0.3">
      <c r="C1000" s="39"/>
      <c r="D1000" s="35" t="s">
        <v>437</v>
      </c>
      <c r="E1000" s="35">
        <v>0.04</v>
      </c>
      <c r="F1000" s="35">
        <v>1</v>
      </c>
      <c r="G1000" s="36">
        <v>3.29</v>
      </c>
    </row>
    <row r="1001" spans="3:7" x14ac:dyDescent="0.3">
      <c r="C1001" s="39"/>
      <c r="D1001" s="35" t="s">
        <v>410</v>
      </c>
      <c r="E1001" s="35">
        <v>0</v>
      </c>
      <c r="F1001" s="35">
        <v>0.36</v>
      </c>
      <c r="G1001" s="36">
        <v>11.61</v>
      </c>
    </row>
    <row r="1002" spans="3:7" x14ac:dyDescent="0.3">
      <c r="C1002" s="39"/>
      <c r="D1002" s="35" t="s">
        <v>412</v>
      </c>
      <c r="E1002" s="35">
        <v>0</v>
      </c>
      <c r="F1002" s="35">
        <v>0.8</v>
      </c>
      <c r="G1002" s="36">
        <v>21.71</v>
      </c>
    </row>
    <row r="1003" spans="3:7" x14ac:dyDescent="0.3">
      <c r="C1003" s="39"/>
      <c r="D1003" s="40" t="s">
        <v>372</v>
      </c>
      <c r="E1003" s="40">
        <v>0</v>
      </c>
      <c r="F1003" s="40">
        <v>0.32</v>
      </c>
      <c r="G1003" s="41">
        <v>17.399999999999999</v>
      </c>
    </row>
    <row r="1004" spans="3:7" x14ac:dyDescent="0.3">
      <c r="C1004" s="39"/>
      <c r="D1004" s="35" t="s">
        <v>373</v>
      </c>
      <c r="E1004" s="35">
        <v>0.08</v>
      </c>
      <c r="F1004" s="35">
        <v>14.782999999999999</v>
      </c>
      <c r="G1004" s="36">
        <v>25.76</v>
      </c>
    </row>
    <row r="1005" spans="3:7" x14ac:dyDescent="0.3">
      <c r="C1005" s="42"/>
      <c r="D1005" s="43" t="s">
        <v>385</v>
      </c>
      <c r="E1005" s="43">
        <v>0</v>
      </c>
      <c r="F1005" s="43">
        <v>1</v>
      </c>
      <c r="G1005" s="44">
        <v>31.51</v>
      </c>
    </row>
    <row r="1009" spans="3:7" x14ac:dyDescent="0.3">
      <c r="C1009" s="31" t="s">
        <v>447</v>
      </c>
      <c r="D1009" s="32" t="s">
        <v>24</v>
      </c>
      <c r="E1009" s="32" t="s">
        <v>10</v>
      </c>
      <c r="F1009" s="32" t="s">
        <v>11</v>
      </c>
      <c r="G1009" s="33" t="s">
        <v>25</v>
      </c>
    </row>
    <row r="1010" spans="3:7" x14ac:dyDescent="0.3">
      <c r="C1010" s="34" t="s">
        <v>448</v>
      </c>
      <c r="D1010" s="35" t="s">
        <v>449</v>
      </c>
      <c r="E1010" s="35">
        <v>0.27</v>
      </c>
      <c r="F1010" s="35">
        <v>10</v>
      </c>
      <c r="G1010" s="36">
        <v>4.8600000000000003</v>
      </c>
    </row>
    <row r="1011" spans="3:7" x14ac:dyDescent="0.3">
      <c r="C1011" s="34" t="s">
        <v>450</v>
      </c>
      <c r="D1011" s="35" t="s">
        <v>451</v>
      </c>
      <c r="E1011" s="35">
        <v>0.27</v>
      </c>
      <c r="F1011" s="35">
        <v>10</v>
      </c>
      <c r="G1011" s="36">
        <v>4.8600000000000003</v>
      </c>
    </row>
    <row r="1012" spans="3:7" x14ac:dyDescent="0.3">
      <c r="C1012" s="34" t="s">
        <v>452</v>
      </c>
      <c r="D1012" s="35" t="s">
        <v>453</v>
      </c>
      <c r="E1012" s="35">
        <v>0.55000000000000004</v>
      </c>
      <c r="F1012" s="35">
        <v>20</v>
      </c>
      <c r="G1012" s="36">
        <v>4.8600000000000003</v>
      </c>
    </row>
    <row r="1013" spans="3:7" x14ac:dyDescent="0.3">
      <c r="C1013" s="39"/>
      <c r="D1013" s="35" t="s">
        <v>454</v>
      </c>
      <c r="E1013" s="35">
        <v>0.82</v>
      </c>
      <c r="F1013" s="35">
        <v>30</v>
      </c>
      <c r="G1013" s="36">
        <v>4.8600000000000003</v>
      </c>
    </row>
    <row r="1014" spans="3:7" x14ac:dyDescent="0.3">
      <c r="C1014" s="39"/>
      <c r="D1014" s="40" t="s">
        <v>455</v>
      </c>
      <c r="E1014" s="40">
        <v>0.02</v>
      </c>
      <c r="F1014" s="40">
        <v>0.74</v>
      </c>
      <c r="G1014" s="41">
        <v>4.8600000000000003</v>
      </c>
    </row>
    <row r="1015" spans="3:7" x14ac:dyDescent="0.3">
      <c r="C1015" s="39"/>
      <c r="D1015" s="37" t="s">
        <v>456</v>
      </c>
      <c r="E1015" s="37">
        <v>2</v>
      </c>
      <c r="F1015" s="37">
        <v>73</v>
      </c>
      <c r="G1015" s="38">
        <v>4.8600000000000003</v>
      </c>
    </row>
    <row r="1016" spans="3:7" x14ac:dyDescent="0.3">
      <c r="C1016" s="39"/>
      <c r="D1016" s="35" t="s">
        <v>457</v>
      </c>
      <c r="E1016" s="35">
        <v>0.55000000000000004</v>
      </c>
      <c r="F1016" s="35">
        <v>20</v>
      </c>
      <c r="G1016" s="36">
        <v>4.8600000000000003</v>
      </c>
    </row>
    <row r="1017" spans="3:7" x14ac:dyDescent="0.3">
      <c r="C1017" s="39"/>
      <c r="D1017" s="35" t="s">
        <v>458</v>
      </c>
      <c r="E1017" s="35">
        <v>0.27</v>
      </c>
      <c r="F1017" s="35">
        <v>10</v>
      </c>
      <c r="G1017" s="36">
        <v>4.8600000000000003</v>
      </c>
    </row>
    <row r="1018" spans="3:7" x14ac:dyDescent="0.3">
      <c r="C1018" s="39"/>
      <c r="D1018" s="35" t="s">
        <v>459</v>
      </c>
      <c r="E1018" s="35">
        <v>0.3</v>
      </c>
      <c r="F1018" s="35">
        <v>10.9</v>
      </c>
      <c r="G1018" s="36">
        <v>4.8600000000000003</v>
      </c>
    </row>
    <row r="1019" spans="3:7" x14ac:dyDescent="0.3">
      <c r="C1019" s="39"/>
      <c r="D1019" s="35" t="s">
        <v>460</v>
      </c>
      <c r="E1019" s="35">
        <v>0.56999999999999995</v>
      </c>
      <c r="F1019" s="35">
        <v>20.9</v>
      </c>
      <c r="G1019" s="36">
        <v>4.8600000000000003</v>
      </c>
    </row>
    <row r="1020" spans="3:7" x14ac:dyDescent="0.3">
      <c r="C1020" s="39"/>
      <c r="D1020" s="35" t="s">
        <v>461</v>
      </c>
      <c r="E1020" s="35">
        <v>0.8</v>
      </c>
      <c r="F1020" s="35">
        <v>29</v>
      </c>
      <c r="G1020" s="36">
        <v>4.8600000000000003</v>
      </c>
    </row>
    <row r="1021" spans="3:7" x14ac:dyDescent="0.3">
      <c r="C1021" s="39"/>
      <c r="D1021" s="35" t="s">
        <v>462</v>
      </c>
      <c r="E1021" s="35">
        <v>0.28000000000000003</v>
      </c>
      <c r="F1021" s="35">
        <v>10.199999999999999</v>
      </c>
      <c r="G1021" s="36">
        <v>4.8600000000000003</v>
      </c>
    </row>
    <row r="1022" spans="3:7" x14ac:dyDescent="0.3">
      <c r="C1022" s="39"/>
      <c r="D1022" s="35" t="s">
        <v>463</v>
      </c>
      <c r="E1022" s="35">
        <v>0.34</v>
      </c>
      <c r="F1022" s="35">
        <v>12.24</v>
      </c>
      <c r="G1022" s="36">
        <v>4.8600000000000003</v>
      </c>
    </row>
    <row r="1023" spans="3:7" x14ac:dyDescent="0.3">
      <c r="C1023" s="42"/>
      <c r="D1023" s="43" t="s">
        <v>464</v>
      </c>
      <c r="E1023" s="43">
        <v>0.14000000000000001</v>
      </c>
      <c r="F1023" s="43">
        <v>5.0999999999999996</v>
      </c>
      <c r="G1023" s="44">
        <v>4.8600000000000003</v>
      </c>
    </row>
    <row r="1027" spans="3:7" x14ac:dyDescent="0.3">
      <c r="C1027" s="31" t="s">
        <v>465</v>
      </c>
      <c r="D1027" s="32" t="s">
        <v>24</v>
      </c>
      <c r="E1027" s="32" t="s">
        <v>10</v>
      </c>
      <c r="F1027" s="32" t="s">
        <v>11</v>
      </c>
      <c r="G1027" s="33" t="s">
        <v>25</v>
      </c>
    </row>
    <row r="1028" spans="3:7" x14ac:dyDescent="0.3">
      <c r="C1028" s="34" t="s">
        <v>466</v>
      </c>
      <c r="D1028" s="37" t="s">
        <v>467</v>
      </c>
      <c r="E1028" s="37">
        <v>0.12</v>
      </c>
      <c r="F1028" s="37">
        <v>4.5</v>
      </c>
      <c r="G1028" s="38">
        <v>4.8600000000000003</v>
      </c>
    </row>
    <row r="1029" spans="3:7" x14ac:dyDescent="0.3">
      <c r="C1029" s="34" t="s">
        <v>468</v>
      </c>
      <c r="D1029" s="35"/>
      <c r="E1029" s="35"/>
      <c r="F1029" s="35"/>
      <c r="G1029" s="36"/>
    </row>
    <row r="1030" spans="3:7" x14ac:dyDescent="0.3">
      <c r="C1030" s="45" t="s">
        <v>452</v>
      </c>
      <c r="D1030" s="43"/>
      <c r="E1030" s="43"/>
      <c r="F1030" s="43"/>
      <c r="G1030" s="44"/>
    </row>
    <row r="1034" spans="3:7" x14ac:dyDescent="0.3">
      <c r="C1034" s="31" t="s">
        <v>469</v>
      </c>
      <c r="D1034" s="32" t="s">
        <v>24</v>
      </c>
      <c r="E1034" s="32" t="s">
        <v>10</v>
      </c>
      <c r="F1034" s="32" t="s">
        <v>11</v>
      </c>
      <c r="G1034" s="33" t="s">
        <v>25</v>
      </c>
    </row>
    <row r="1035" spans="3:7" x14ac:dyDescent="0.3">
      <c r="C1035" s="34" t="s">
        <v>470</v>
      </c>
      <c r="D1035" s="37" t="s">
        <v>471</v>
      </c>
      <c r="E1035" s="37">
        <v>0.14000000000000001</v>
      </c>
      <c r="F1035" s="37">
        <v>5</v>
      </c>
      <c r="G1035" s="38">
        <v>4.8600000000000003</v>
      </c>
    </row>
    <row r="1036" spans="3:7" x14ac:dyDescent="0.3">
      <c r="C1036" s="34" t="s">
        <v>472</v>
      </c>
      <c r="D1036" s="37" t="s">
        <v>473</v>
      </c>
      <c r="E1036" s="37">
        <v>0.14000000000000001</v>
      </c>
      <c r="F1036" s="37">
        <v>5</v>
      </c>
      <c r="G1036" s="38">
        <v>4.8600000000000003</v>
      </c>
    </row>
    <row r="1037" spans="3:7" x14ac:dyDescent="0.3">
      <c r="C1037" s="45" t="s">
        <v>452</v>
      </c>
      <c r="D1037" s="43"/>
      <c r="E1037" s="43"/>
      <c r="F1037" s="43"/>
      <c r="G1037" s="44"/>
    </row>
    <row r="1041" spans="3:7" x14ac:dyDescent="0.3">
      <c r="C1041" s="31" t="s">
        <v>474</v>
      </c>
      <c r="D1041" s="32" t="s">
        <v>24</v>
      </c>
      <c r="E1041" s="32" t="s">
        <v>10</v>
      </c>
      <c r="F1041" s="32" t="s">
        <v>11</v>
      </c>
      <c r="G1041" s="33" t="s">
        <v>25</v>
      </c>
    </row>
    <row r="1042" spans="3:7" x14ac:dyDescent="0.3">
      <c r="C1042" s="34" t="s">
        <v>475</v>
      </c>
      <c r="D1042" s="37" t="s">
        <v>476</v>
      </c>
      <c r="E1042" s="37">
        <v>0.19</v>
      </c>
      <c r="F1042" s="37">
        <v>7</v>
      </c>
      <c r="G1042" s="38">
        <v>4.8600000000000003</v>
      </c>
    </row>
    <row r="1043" spans="3:7" x14ac:dyDescent="0.3">
      <c r="C1043" s="34" t="s">
        <v>477</v>
      </c>
      <c r="D1043" s="37" t="s">
        <v>478</v>
      </c>
      <c r="E1043" s="37">
        <v>0.19</v>
      </c>
      <c r="F1043" s="37">
        <v>7</v>
      </c>
      <c r="G1043" s="38">
        <v>4.8600000000000003</v>
      </c>
    </row>
    <row r="1044" spans="3:7" x14ac:dyDescent="0.3">
      <c r="C1044" s="34" t="s">
        <v>452</v>
      </c>
      <c r="D1044" s="35" t="s">
        <v>479</v>
      </c>
      <c r="E1044" s="35">
        <v>0.13</v>
      </c>
      <c r="F1044" s="35">
        <v>4.75</v>
      </c>
      <c r="G1044" s="36">
        <v>4.8600000000000003</v>
      </c>
    </row>
    <row r="1045" spans="3:7" x14ac:dyDescent="0.3">
      <c r="C1045" s="39"/>
      <c r="D1045" s="35" t="s">
        <v>480</v>
      </c>
      <c r="E1045" s="35">
        <v>0.08</v>
      </c>
      <c r="F1045" s="35">
        <v>3</v>
      </c>
      <c r="G1045" s="36">
        <v>4.8600000000000003</v>
      </c>
    </row>
    <row r="1046" spans="3:7" x14ac:dyDescent="0.3">
      <c r="C1046" s="39"/>
      <c r="D1046" s="35" t="s">
        <v>481</v>
      </c>
      <c r="E1046" s="35">
        <v>0.06</v>
      </c>
      <c r="F1046" s="35">
        <v>2.181</v>
      </c>
      <c r="G1046" s="36">
        <v>4.8600000000000003</v>
      </c>
    </row>
    <row r="1047" spans="3:7" x14ac:dyDescent="0.3">
      <c r="C1047" s="39"/>
      <c r="D1047" s="35" t="s">
        <v>482</v>
      </c>
      <c r="E1047" s="35">
        <v>0.14000000000000001</v>
      </c>
      <c r="F1047" s="35">
        <v>5</v>
      </c>
      <c r="G1047" s="36">
        <v>4.8600000000000003</v>
      </c>
    </row>
    <row r="1048" spans="3:7" x14ac:dyDescent="0.3">
      <c r="C1048" s="42"/>
      <c r="D1048" s="46" t="s">
        <v>483</v>
      </c>
      <c r="E1048" s="46">
        <v>0.06</v>
      </c>
      <c r="F1048" s="46">
        <v>2.069</v>
      </c>
      <c r="G1048" s="47">
        <v>4.8600000000000003</v>
      </c>
    </row>
    <row r="1052" spans="3:7" x14ac:dyDescent="0.3">
      <c r="C1052" s="31" t="s">
        <v>484</v>
      </c>
      <c r="D1052" s="32" t="s">
        <v>24</v>
      </c>
      <c r="E1052" s="32" t="s">
        <v>10</v>
      </c>
      <c r="F1052" s="32" t="s">
        <v>11</v>
      </c>
      <c r="G1052" s="33" t="s">
        <v>25</v>
      </c>
    </row>
    <row r="1053" spans="3:7" x14ac:dyDescent="0.3">
      <c r="C1053" s="34" t="s">
        <v>485</v>
      </c>
      <c r="D1053" s="37" t="s">
        <v>486</v>
      </c>
      <c r="E1053" s="37">
        <v>0.16</v>
      </c>
      <c r="F1053" s="37">
        <v>6</v>
      </c>
      <c r="G1053" s="38">
        <v>4.8600000000000003</v>
      </c>
    </row>
    <row r="1054" spans="3:7" x14ac:dyDescent="0.3">
      <c r="C1054" s="34" t="s">
        <v>487</v>
      </c>
      <c r="D1054" s="35"/>
      <c r="E1054" s="35"/>
      <c r="F1054" s="35"/>
      <c r="G1054" s="36"/>
    </row>
    <row r="1055" spans="3:7" x14ac:dyDescent="0.3">
      <c r="C1055" s="45" t="s">
        <v>452</v>
      </c>
      <c r="D1055" s="43"/>
      <c r="E1055" s="43"/>
      <c r="F1055" s="43"/>
      <c r="G1055" s="44"/>
    </row>
    <row r="1059" spans="3:7" x14ac:dyDescent="0.3">
      <c r="C1059" s="31" t="s">
        <v>488</v>
      </c>
      <c r="D1059" s="32" t="s">
        <v>24</v>
      </c>
      <c r="E1059" s="32" t="s">
        <v>10</v>
      </c>
      <c r="F1059" s="32" t="s">
        <v>11</v>
      </c>
      <c r="G1059" s="33" t="s">
        <v>25</v>
      </c>
    </row>
    <row r="1060" spans="3:7" x14ac:dyDescent="0.3">
      <c r="C1060" s="34" t="s">
        <v>489</v>
      </c>
      <c r="D1060" s="37" t="s">
        <v>490</v>
      </c>
      <c r="E1060" s="37">
        <v>1.04</v>
      </c>
      <c r="F1060" s="37">
        <v>38</v>
      </c>
      <c r="G1060" s="38">
        <v>4.8600000000000003</v>
      </c>
    </row>
    <row r="1061" spans="3:7" x14ac:dyDescent="0.3">
      <c r="C1061" s="34" t="s">
        <v>491</v>
      </c>
      <c r="D1061" s="40" t="s">
        <v>492</v>
      </c>
      <c r="E1061" s="40">
        <v>0.57999999999999996</v>
      </c>
      <c r="F1061" s="40">
        <v>21</v>
      </c>
      <c r="G1061" s="41">
        <v>4.8600000000000003</v>
      </c>
    </row>
    <row r="1062" spans="3:7" x14ac:dyDescent="0.3">
      <c r="C1062" s="45" t="s">
        <v>452</v>
      </c>
      <c r="D1062" s="43"/>
      <c r="E1062" s="43"/>
      <c r="F1062" s="43"/>
      <c r="G1062" s="44"/>
    </row>
    <row r="1066" spans="3:7" x14ac:dyDescent="0.3">
      <c r="C1066" s="31" t="s">
        <v>493</v>
      </c>
      <c r="D1066" s="32" t="s">
        <v>24</v>
      </c>
      <c r="E1066" s="32" t="s">
        <v>10</v>
      </c>
      <c r="F1066" s="32" t="s">
        <v>11</v>
      </c>
      <c r="G1066" s="33" t="s">
        <v>25</v>
      </c>
    </row>
    <row r="1067" spans="3:7" x14ac:dyDescent="0.3">
      <c r="C1067" s="34" t="s">
        <v>494</v>
      </c>
      <c r="D1067" s="37" t="s">
        <v>495</v>
      </c>
      <c r="E1067" s="37">
        <v>0.15</v>
      </c>
      <c r="F1067" s="37">
        <v>3.2</v>
      </c>
      <c r="G1067" s="38">
        <v>2.88</v>
      </c>
    </row>
    <row r="1068" spans="3:7" x14ac:dyDescent="0.3">
      <c r="C1068" s="34" t="s">
        <v>496</v>
      </c>
      <c r="D1068" s="37" t="s">
        <v>497</v>
      </c>
      <c r="E1068" s="37">
        <v>0.15</v>
      </c>
      <c r="F1068" s="37">
        <v>3.2</v>
      </c>
      <c r="G1068" s="38">
        <v>2.88</v>
      </c>
    </row>
    <row r="1069" spans="3:7" x14ac:dyDescent="0.3">
      <c r="C1069" s="45" t="s">
        <v>452</v>
      </c>
      <c r="D1069" s="43"/>
      <c r="E1069" s="43"/>
      <c r="F1069" s="43"/>
      <c r="G1069" s="44"/>
    </row>
    <row r="1073" spans="3:7" x14ac:dyDescent="0.3">
      <c r="C1073" s="31" t="s">
        <v>498</v>
      </c>
      <c r="D1073" s="32" t="s">
        <v>24</v>
      </c>
      <c r="E1073" s="32" t="s">
        <v>10</v>
      </c>
      <c r="F1073" s="32" t="s">
        <v>11</v>
      </c>
      <c r="G1073" s="33" t="s">
        <v>25</v>
      </c>
    </row>
    <row r="1074" spans="3:7" x14ac:dyDescent="0.3">
      <c r="C1074" s="34" t="s">
        <v>470</v>
      </c>
      <c r="D1074" s="37" t="s">
        <v>499</v>
      </c>
      <c r="E1074" s="37">
        <v>0.27</v>
      </c>
      <c r="F1074" s="37">
        <v>10</v>
      </c>
      <c r="G1074" s="38">
        <v>4.8600000000000003</v>
      </c>
    </row>
    <row r="1075" spans="3:7" x14ac:dyDescent="0.3">
      <c r="C1075" s="34" t="s">
        <v>500</v>
      </c>
      <c r="D1075" s="35"/>
      <c r="E1075" s="35"/>
      <c r="F1075" s="35"/>
      <c r="G1075" s="36"/>
    </row>
    <row r="1076" spans="3:7" x14ac:dyDescent="0.3">
      <c r="C1076" s="45" t="s">
        <v>452</v>
      </c>
      <c r="D1076" s="43"/>
      <c r="E1076" s="43"/>
      <c r="F1076" s="43"/>
      <c r="G1076" s="44"/>
    </row>
    <row r="1080" spans="3:7" x14ac:dyDescent="0.3">
      <c r="C1080" s="31" t="s">
        <v>501</v>
      </c>
      <c r="D1080" s="32" t="s">
        <v>24</v>
      </c>
      <c r="E1080" s="32" t="s">
        <v>10</v>
      </c>
      <c r="F1080" s="32" t="s">
        <v>11</v>
      </c>
      <c r="G1080" s="33" t="s">
        <v>25</v>
      </c>
    </row>
    <row r="1081" spans="3:7" x14ac:dyDescent="0.3">
      <c r="C1081" s="34" t="s">
        <v>502</v>
      </c>
      <c r="D1081" s="35" t="s">
        <v>503</v>
      </c>
      <c r="E1081" s="35">
        <v>0.37</v>
      </c>
      <c r="F1081" s="35">
        <v>55.481999999999999</v>
      </c>
      <c r="G1081" s="36">
        <v>19.78</v>
      </c>
    </row>
    <row r="1082" spans="3:7" x14ac:dyDescent="0.3">
      <c r="C1082" s="34" t="s">
        <v>504</v>
      </c>
      <c r="D1082" s="35" t="s">
        <v>505</v>
      </c>
      <c r="E1082" s="35">
        <v>0.14000000000000001</v>
      </c>
      <c r="F1082" s="35">
        <v>14.657999999999999</v>
      </c>
      <c r="G1082" s="36">
        <v>14.28</v>
      </c>
    </row>
    <row r="1083" spans="3:7" x14ac:dyDescent="0.3">
      <c r="C1083" s="34" t="s">
        <v>506</v>
      </c>
      <c r="D1083" s="35" t="s">
        <v>507</v>
      </c>
      <c r="E1083" s="35">
        <v>0.05</v>
      </c>
      <c r="F1083" s="35">
        <v>22.58</v>
      </c>
      <c r="G1083" s="36">
        <v>61.4</v>
      </c>
    </row>
    <row r="1084" spans="3:7" x14ac:dyDescent="0.3">
      <c r="C1084" s="39"/>
      <c r="D1084" s="35" t="s">
        <v>508</v>
      </c>
      <c r="E1084" s="35">
        <v>0.02</v>
      </c>
      <c r="F1084" s="35">
        <v>3.44</v>
      </c>
      <c r="G1084" s="36">
        <v>22.74</v>
      </c>
    </row>
    <row r="1085" spans="3:7" x14ac:dyDescent="0.3">
      <c r="C1085" s="39"/>
      <c r="D1085" s="35" t="s">
        <v>509</v>
      </c>
      <c r="E1085" s="35">
        <v>1.2</v>
      </c>
      <c r="F1085" s="35">
        <v>432.16199999999998</v>
      </c>
      <c r="G1085" s="36">
        <v>48.05</v>
      </c>
    </row>
    <row r="1086" spans="3:7" x14ac:dyDescent="0.3">
      <c r="C1086" s="39"/>
      <c r="D1086" s="35" t="s">
        <v>510</v>
      </c>
      <c r="E1086" s="35">
        <v>0.17</v>
      </c>
      <c r="F1086" s="35">
        <v>32.840000000000003</v>
      </c>
      <c r="G1086" s="36">
        <v>25.38</v>
      </c>
    </row>
    <row r="1087" spans="3:7" x14ac:dyDescent="0.3">
      <c r="C1087" s="39"/>
      <c r="D1087" s="35" t="s">
        <v>511</v>
      </c>
      <c r="E1087" s="35">
        <v>0.01</v>
      </c>
      <c r="F1087" s="35">
        <v>0.66</v>
      </c>
      <c r="G1087" s="36">
        <v>9.2899999999999991</v>
      </c>
    </row>
    <row r="1088" spans="3:7" x14ac:dyDescent="0.3">
      <c r="C1088" s="39"/>
      <c r="D1088" s="35" t="s">
        <v>512</v>
      </c>
      <c r="E1088" s="35">
        <v>1.34</v>
      </c>
      <c r="F1088" s="35">
        <v>308.03399999999999</v>
      </c>
      <c r="G1088" s="36">
        <v>30.72</v>
      </c>
    </row>
    <row r="1089" spans="3:7" x14ac:dyDescent="0.3">
      <c r="C1089" s="39"/>
      <c r="D1089" s="35" t="s">
        <v>513</v>
      </c>
      <c r="E1089" s="35">
        <v>0.13</v>
      </c>
      <c r="F1089" s="35">
        <v>38.131999999999998</v>
      </c>
      <c r="G1089" s="36">
        <v>38.119999999999997</v>
      </c>
    </row>
    <row r="1090" spans="3:7" x14ac:dyDescent="0.3">
      <c r="C1090" s="39"/>
      <c r="D1090" s="35" t="s">
        <v>514</v>
      </c>
      <c r="E1090" s="35">
        <v>0.35</v>
      </c>
      <c r="F1090" s="35">
        <v>102.8</v>
      </c>
      <c r="G1090" s="36">
        <v>38.75</v>
      </c>
    </row>
    <row r="1091" spans="3:7" x14ac:dyDescent="0.3">
      <c r="C1091" s="39"/>
      <c r="D1091" s="35" t="s">
        <v>510</v>
      </c>
      <c r="E1091" s="35">
        <v>0.31</v>
      </c>
      <c r="F1091" s="35">
        <v>59.890999999999998</v>
      </c>
      <c r="G1091" s="36">
        <v>25.38</v>
      </c>
    </row>
    <row r="1092" spans="3:7" x14ac:dyDescent="0.3">
      <c r="C1092" s="39"/>
      <c r="D1092" s="35" t="s">
        <v>515</v>
      </c>
      <c r="E1092" s="35">
        <v>0.03</v>
      </c>
      <c r="F1092" s="35">
        <v>7.1340000000000003</v>
      </c>
      <c r="G1092" s="36">
        <v>35.380000000000003</v>
      </c>
    </row>
    <row r="1093" spans="3:7" x14ac:dyDescent="0.3">
      <c r="C1093" s="39"/>
      <c r="D1093" s="35" t="s">
        <v>516</v>
      </c>
      <c r="E1093" s="35">
        <v>0.06</v>
      </c>
      <c r="F1093" s="35">
        <v>20.079000000000001</v>
      </c>
      <c r="G1093" s="36">
        <v>45.95</v>
      </c>
    </row>
    <row r="1094" spans="3:7" x14ac:dyDescent="0.3">
      <c r="C1094" s="39"/>
      <c r="D1094" s="35" t="s">
        <v>517</v>
      </c>
      <c r="E1094" s="35">
        <v>0.5</v>
      </c>
      <c r="F1094" s="35">
        <v>120.831</v>
      </c>
      <c r="G1094" s="36">
        <v>32.24</v>
      </c>
    </row>
    <row r="1095" spans="3:7" x14ac:dyDescent="0.3">
      <c r="C1095" s="39"/>
      <c r="D1095" s="35" t="s">
        <v>509</v>
      </c>
      <c r="E1095" s="35">
        <v>0.05</v>
      </c>
      <c r="F1095" s="35">
        <v>17.568999999999999</v>
      </c>
      <c r="G1095" s="36">
        <v>48.05</v>
      </c>
    </row>
    <row r="1096" spans="3:7" x14ac:dyDescent="0.3">
      <c r="C1096" s="39"/>
      <c r="D1096" s="35" t="s">
        <v>518</v>
      </c>
      <c r="E1096" s="35">
        <v>0.18</v>
      </c>
      <c r="F1096" s="35">
        <v>46.317999999999998</v>
      </c>
      <c r="G1096" s="36">
        <v>34.83</v>
      </c>
    </row>
    <row r="1097" spans="3:7" x14ac:dyDescent="0.3">
      <c r="C1097" s="39"/>
      <c r="D1097" s="35" t="s">
        <v>519</v>
      </c>
      <c r="E1097" s="35">
        <v>0.06</v>
      </c>
      <c r="F1097" s="35">
        <v>31.26</v>
      </c>
      <c r="G1097" s="36">
        <v>67.91</v>
      </c>
    </row>
    <row r="1098" spans="3:7" x14ac:dyDescent="0.3">
      <c r="C1098" s="39"/>
      <c r="D1098" s="35" t="s">
        <v>520</v>
      </c>
      <c r="E1098" s="35">
        <v>0.04</v>
      </c>
      <c r="F1098" s="35">
        <v>10.98</v>
      </c>
      <c r="G1098" s="36">
        <v>33.5</v>
      </c>
    </row>
    <row r="1099" spans="3:7" x14ac:dyDescent="0.3">
      <c r="C1099" s="39"/>
      <c r="D1099" s="35" t="s">
        <v>515</v>
      </c>
      <c r="E1099" s="35">
        <v>0.04</v>
      </c>
      <c r="F1099" s="35">
        <v>10.215999999999999</v>
      </c>
      <c r="G1099" s="36">
        <v>35.380000000000003</v>
      </c>
    </row>
    <row r="1100" spans="3:7" x14ac:dyDescent="0.3">
      <c r="C1100" s="39"/>
      <c r="D1100" s="35" t="s">
        <v>513</v>
      </c>
      <c r="E1100" s="35">
        <v>0.25</v>
      </c>
      <c r="F1100" s="35">
        <v>71.168000000000006</v>
      </c>
      <c r="G1100" s="36">
        <v>38.119999999999997</v>
      </c>
    </row>
    <row r="1101" spans="3:7" x14ac:dyDescent="0.3">
      <c r="C1101" s="39"/>
      <c r="D1101" s="35" t="s">
        <v>521</v>
      </c>
      <c r="E1101" s="35">
        <v>0.06</v>
      </c>
      <c r="F1101" s="35">
        <v>18.440000000000001</v>
      </c>
      <c r="G1101" s="36">
        <v>38.83</v>
      </c>
    </row>
    <row r="1102" spans="3:7" x14ac:dyDescent="0.3">
      <c r="C1102" s="39"/>
      <c r="D1102" s="35" t="s">
        <v>519</v>
      </c>
      <c r="E1102" s="35">
        <v>0.14000000000000001</v>
      </c>
      <c r="F1102" s="35">
        <v>70.317999999999998</v>
      </c>
      <c r="G1102" s="36">
        <v>67.91</v>
      </c>
    </row>
    <row r="1103" spans="3:7" x14ac:dyDescent="0.3">
      <c r="C1103" s="39"/>
      <c r="D1103" s="35" t="s">
        <v>521</v>
      </c>
      <c r="E1103" s="35">
        <v>0.02</v>
      </c>
      <c r="F1103" s="35">
        <v>4.5999999999999996</v>
      </c>
      <c r="G1103" s="36">
        <v>38.83</v>
      </c>
    </row>
    <row r="1104" spans="3:7" x14ac:dyDescent="0.3">
      <c r="C1104" s="39"/>
      <c r="D1104" s="35" t="s">
        <v>512</v>
      </c>
      <c r="E1104" s="35">
        <v>0.19</v>
      </c>
      <c r="F1104" s="35">
        <v>42.8</v>
      </c>
      <c r="G1104" s="36">
        <v>30.72</v>
      </c>
    </row>
    <row r="1105" spans="3:7" x14ac:dyDescent="0.3">
      <c r="C1105" s="39"/>
      <c r="D1105" s="37" t="s">
        <v>509</v>
      </c>
      <c r="E1105" s="37">
        <v>1.53</v>
      </c>
      <c r="F1105" s="37">
        <v>550.48800000000006</v>
      </c>
      <c r="G1105" s="38">
        <v>48.05</v>
      </c>
    </row>
    <row r="1106" spans="3:7" x14ac:dyDescent="0.3">
      <c r="C1106" s="39"/>
      <c r="D1106" s="35" t="s">
        <v>517</v>
      </c>
      <c r="E1106" s="35">
        <v>0.01</v>
      </c>
      <c r="F1106" s="35">
        <v>3.597</v>
      </c>
      <c r="G1106" s="36">
        <v>32.24</v>
      </c>
    </row>
    <row r="1107" spans="3:7" x14ac:dyDescent="0.3">
      <c r="C1107" s="39"/>
      <c r="D1107" s="35" t="s">
        <v>520</v>
      </c>
      <c r="E1107" s="35">
        <v>0.03</v>
      </c>
      <c r="F1107" s="35">
        <v>7.3109999999999999</v>
      </c>
      <c r="G1107" s="36">
        <v>33.5</v>
      </c>
    </row>
    <row r="1108" spans="3:7" x14ac:dyDescent="0.3">
      <c r="C1108" s="39"/>
      <c r="D1108" s="35" t="s">
        <v>512</v>
      </c>
      <c r="E1108" s="35">
        <v>0.59</v>
      </c>
      <c r="F1108" s="35">
        <v>135.267</v>
      </c>
      <c r="G1108" s="36">
        <v>30.72</v>
      </c>
    </row>
    <row r="1109" spans="3:7" x14ac:dyDescent="0.3">
      <c r="C1109" s="39"/>
      <c r="D1109" s="35" t="s">
        <v>522</v>
      </c>
      <c r="E1109" s="35">
        <v>0.06</v>
      </c>
      <c r="F1109" s="35">
        <v>12.928000000000001</v>
      </c>
      <c r="G1109" s="36">
        <v>28.84</v>
      </c>
    </row>
    <row r="1110" spans="3:7" x14ac:dyDescent="0.3">
      <c r="C1110" s="39"/>
      <c r="D1110" s="35" t="s">
        <v>520</v>
      </c>
      <c r="E1110" s="35">
        <v>0.08</v>
      </c>
      <c r="F1110" s="35">
        <v>20.56</v>
      </c>
      <c r="G1110" s="36">
        <v>33.5</v>
      </c>
    </row>
    <row r="1111" spans="3:7" x14ac:dyDescent="0.3">
      <c r="C1111" s="39"/>
      <c r="D1111" s="35" t="s">
        <v>323</v>
      </c>
      <c r="E1111" s="35">
        <v>0.57999999999999996</v>
      </c>
      <c r="F1111" s="35">
        <v>104.508</v>
      </c>
      <c r="G1111" s="36">
        <v>23.98</v>
      </c>
    </row>
    <row r="1112" spans="3:7" x14ac:dyDescent="0.3">
      <c r="C1112" s="39"/>
      <c r="D1112" s="35" t="s">
        <v>512</v>
      </c>
      <c r="E1112" s="35">
        <v>0.39</v>
      </c>
      <c r="F1112" s="35">
        <v>90.384</v>
      </c>
      <c r="G1112" s="36">
        <v>30.72</v>
      </c>
    </row>
    <row r="1113" spans="3:7" x14ac:dyDescent="0.3">
      <c r="C1113" s="39"/>
      <c r="D1113" s="35" t="s">
        <v>523</v>
      </c>
      <c r="E1113" s="35">
        <v>0.12</v>
      </c>
      <c r="F1113" s="35">
        <v>30.472999999999999</v>
      </c>
      <c r="G1113" s="36">
        <v>32.97</v>
      </c>
    </row>
    <row r="1114" spans="3:7" x14ac:dyDescent="0.3">
      <c r="C1114" s="39"/>
      <c r="D1114" s="35" t="s">
        <v>509</v>
      </c>
      <c r="E1114" s="35">
        <v>1.25</v>
      </c>
      <c r="F1114" s="35">
        <v>449.45400000000001</v>
      </c>
      <c r="G1114" s="36">
        <v>48.05</v>
      </c>
    </row>
    <row r="1115" spans="3:7" x14ac:dyDescent="0.3">
      <c r="C1115" s="39"/>
      <c r="D1115" s="35" t="s">
        <v>517</v>
      </c>
      <c r="E1115" s="35">
        <v>0.01</v>
      </c>
      <c r="F1115" s="35">
        <v>3.26</v>
      </c>
      <c r="G1115" s="36">
        <v>32.24</v>
      </c>
    </row>
    <row r="1116" spans="3:7" x14ac:dyDescent="0.3">
      <c r="C1116" s="39"/>
      <c r="D1116" s="35" t="s">
        <v>524</v>
      </c>
      <c r="E1116" s="35">
        <v>0.02</v>
      </c>
      <c r="F1116" s="35">
        <v>3.94</v>
      </c>
      <c r="G1116" s="36">
        <v>30.82</v>
      </c>
    </row>
    <row r="1117" spans="3:7" x14ac:dyDescent="0.3">
      <c r="C1117" s="39"/>
      <c r="D1117" s="35" t="s">
        <v>525</v>
      </c>
      <c r="E1117" s="35">
        <v>7.0000000000000007E-2</v>
      </c>
      <c r="F1117" s="35">
        <v>27.544</v>
      </c>
      <c r="G1117" s="36">
        <v>51.58</v>
      </c>
    </row>
    <row r="1118" spans="3:7" x14ac:dyDescent="0.3">
      <c r="C1118" s="39"/>
      <c r="D1118" s="35" t="s">
        <v>526</v>
      </c>
      <c r="E1118" s="35">
        <v>0.08</v>
      </c>
      <c r="F1118" s="35">
        <v>13.651999999999999</v>
      </c>
      <c r="G1118" s="36">
        <v>24.24</v>
      </c>
    </row>
    <row r="1119" spans="3:7" x14ac:dyDescent="0.3">
      <c r="C1119" s="39"/>
      <c r="D1119" s="35" t="s">
        <v>527</v>
      </c>
      <c r="E1119" s="35">
        <v>0.16</v>
      </c>
      <c r="F1119" s="35">
        <v>23.39</v>
      </c>
      <c r="G1119" s="36">
        <v>19.38</v>
      </c>
    </row>
    <row r="1120" spans="3:7" x14ac:dyDescent="0.3">
      <c r="C1120" s="39"/>
      <c r="D1120" s="35" t="s">
        <v>528</v>
      </c>
      <c r="E1120" s="35">
        <v>0.13</v>
      </c>
      <c r="F1120" s="35">
        <v>39.26</v>
      </c>
      <c r="G1120" s="36">
        <v>41.74</v>
      </c>
    </row>
    <row r="1121" spans="3:7" x14ac:dyDescent="0.3">
      <c r="C1121" s="39"/>
      <c r="D1121" s="35" t="s">
        <v>528</v>
      </c>
      <c r="E1121" s="35">
        <v>0.14000000000000001</v>
      </c>
      <c r="F1121" s="35">
        <v>43.72</v>
      </c>
      <c r="G1121" s="36">
        <v>41.74</v>
      </c>
    </row>
    <row r="1122" spans="3:7" x14ac:dyDescent="0.3">
      <c r="C1122" s="39"/>
      <c r="D1122" s="35" t="s">
        <v>517</v>
      </c>
      <c r="E1122" s="35">
        <v>0.44</v>
      </c>
      <c r="F1122" s="35">
        <v>106.88</v>
      </c>
      <c r="G1122" s="36">
        <v>32.24</v>
      </c>
    </row>
    <row r="1123" spans="3:7" x14ac:dyDescent="0.3">
      <c r="C1123" s="39"/>
      <c r="D1123" s="35" t="s">
        <v>529</v>
      </c>
      <c r="E1123" s="35">
        <v>0.05</v>
      </c>
      <c r="F1123" s="35">
        <v>10.855</v>
      </c>
      <c r="G1123" s="36">
        <v>29.31</v>
      </c>
    </row>
    <row r="1124" spans="3:7" x14ac:dyDescent="0.3">
      <c r="C1124" s="39"/>
      <c r="D1124" s="35" t="s">
        <v>513</v>
      </c>
      <c r="E1124" s="35">
        <v>0.09</v>
      </c>
      <c r="F1124" s="35">
        <v>25.113</v>
      </c>
      <c r="G1124" s="36">
        <v>38.119999999999997</v>
      </c>
    </row>
    <row r="1125" spans="3:7" x14ac:dyDescent="0.3">
      <c r="C1125" s="39"/>
      <c r="D1125" s="35" t="s">
        <v>525</v>
      </c>
      <c r="E1125" s="35">
        <v>0</v>
      </c>
      <c r="F1125" s="35">
        <v>0.23499999999999999</v>
      </c>
      <c r="G1125" s="36">
        <v>51.58</v>
      </c>
    </row>
    <row r="1126" spans="3:7" x14ac:dyDescent="0.3">
      <c r="C1126" s="39"/>
      <c r="D1126" s="35" t="s">
        <v>530</v>
      </c>
      <c r="E1126" s="35">
        <v>0</v>
      </c>
      <c r="F1126" s="35">
        <v>0.04</v>
      </c>
      <c r="G1126" s="36">
        <v>30.29</v>
      </c>
    </row>
    <row r="1127" spans="3:7" x14ac:dyDescent="0.3">
      <c r="C1127" s="39"/>
      <c r="D1127" s="35" t="s">
        <v>529</v>
      </c>
      <c r="E1127" s="35">
        <v>0.11</v>
      </c>
      <c r="F1127" s="35">
        <v>23.7</v>
      </c>
      <c r="G1127" s="36">
        <v>29.31</v>
      </c>
    </row>
    <row r="1128" spans="3:7" x14ac:dyDescent="0.3">
      <c r="C1128" s="39"/>
      <c r="D1128" s="35" t="s">
        <v>531</v>
      </c>
      <c r="E1128" s="35">
        <v>0.11</v>
      </c>
      <c r="F1128" s="35">
        <v>19</v>
      </c>
      <c r="G1128" s="36">
        <v>24.05</v>
      </c>
    </row>
    <row r="1129" spans="3:7" x14ac:dyDescent="0.3">
      <c r="C1129" s="39"/>
      <c r="D1129" s="35" t="s">
        <v>517</v>
      </c>
      <c r="E1129" s="35">
        <v>0.08</v>
      </c>
      <c r="F1129" s="35">
        <v>19.817</v>
      </c>
      <c r="G1129" s="36">
        <v>32.24</v>
      </c>
    </row>
    <row r="1130" spans="3:7" x14ac:dyDescent="0.3">
      <c r="C1130" s="39"/>
      <c r="D1130" s="35" t="s">
        <v>532</v>
      </c>
      <c r="E1130" s="35">
        <v>0.09</v>
      </c>
      <c r="F1130" s="35">
        <v>22.06</v>
      </c>
      <c r="G1130" s="36">
        <v>32.090000000000003</v>
      </c>
    </row>
    <row r="1131" spans="3:7" x14ac:dyDescent="0.3">
      <c r="C1131" s="39"/>
      <c r="D1131" s="35" t="s">
        <v>533</v>
      </c>
      <c r="E1131" s="35">
        <v>7.0000000000000007E-2</v>
      </c>
      <c r="F1131" s="35">
        <v>22.49</v>
      </c>
      <c r="G1131" s="36">
        <v>44.12</v>
      </c>
    </row>
    <row r="1132" spans="3:7" x14ac:dyDescent="0.3">
      <c r="C1132" s="39"/>
      <c r="D1132" s="35" t="s">
        <v>531</v>
      </c>
      <c r="E1132" s="35">
        <v>0.03</v>
      </c>
      <c r="F1132" s="35">
        <v>5.28</v>
      </c>
      <c r="G1132" s="36">
        <v>24.05</v>
      </c>
    </row>
    <row r="1133" spans="3:7" x14ac:dyDescent="0.3">
      <c r="C1133" s="39"/>
      <c r="D1133" s="35" t="s">
        <v>521</v>
      </c>
      <c r="E1133" s="35">
        <v>0.23</v>
      </c>
      <c r="F1133" s="35">
        <v>67.757999999999996</v>
      </c>
      <c r="G1133" s="36">
        <v>38.83</v>
      </c>
    </row>
    <row r="1134" spans="3:7" x14ac:dyDescent="0.3">
      <c r="C1134" s="39"/>
      <c r="D1134" s="35" t="s">
        <v>534</v>
      </c>
      <c r="E1134" s="35">
        <v>7.0000000000000007E-2</v>
      </c>
      <c r="F1134" s="35">
        <v>19.033999999999999</v>
      </c>
      <c r="G1134" s="36">
        <v>38.380000000000003</v>
      </c>
    </row>
    <row r="1135" spans="3:7" x14ac:dyDescent="0.3">
      <c r="C1135" s="39"/>
      <c r="D1135" s="35" t="s">
        <v>535</v>
      </c>
      <c r="E1135" s="35">
        <v>0.08</v>
      </c>
      <c r="F1135" s="35">
        <v>27.777999999999999</v>
      </c>
      <c r="G1135" s="36">
        <v>49.28</v>
      </c>
    </row>
    <row r="1136" spans="3:7" x14ac:dyDescent="0.3">
      <c r="C1136" s="39"/>
      <c r="D1136" s="35" t="s">
        <v>536</v>
      </c>
      <c r="E1136" s="35">
        <v>0.08</v>
      </c>
      <c r="F1136" s="35">
        <v>22.52</v>
      </c>
      <c r="G1136" s="36">
        <v>37.22</v>
      </c>
    </row>
    <row r="1137" spans="3:7" x14ac:dyDescent="0.3">
      <c r="C1137" s="39"/>
      <c r="D1137" s="35" t="s">
        <v>537</v>
      </c>
      <c r="E1137" s="35">
        <v>0.08</v>
      </c>
      <c r="F1137" s="35">
        <v>22.66</v>
      </c>
      <c r="G1137" s="36">
        <v>38.380000000000003</v>
      </c>
    </row>
    <row r="1138" spans="3:7" x14ac:dyDescent="0.3">
      <c r="C1138" s="39"/>
      <c r="D1138" s="35" t="s">
        <v>528</v>
      </c>
      <c r="E1138" s="35">
        <v>0.13</v>
      </c>
      <c r="F1138" s="35">
        <v>41.64</v>
      </c>
      <c r="G1138" s="36">
        <v>41.74</v>
      </c>
    </row>
    <row r="1139" spans="3:7" x14ac:dyDescent="0.3">
      <c r="C1139" s="39"/>
      <c r="D1139" s="35" t="s">
        <v>538</v>
      </c>
      <c r="E1139" s="35">
        <v>0</v>
      </c>
      <c r="F1139" s="35">
        <v>3.1E-2</v>
      </c>
      <c r="G1139" s="36">
        <v>37.479999999999997</v>
      </c>
    </row>
    <row r="1140" spans="3:7" x14ac:dyDescent="0.3">
      <c r="C1140" s="39"/>
      <c r="D1140" s="35" t="s">
        <v>528</v>
      </c>
      <c r="E1140" s="35">
        <v>0.13</v>
      </c>
      <c r="F1140" s="35">
        <v>39.26</v>
      </c>
      <c r="G1140" s="36">
        <v>41.74</v>
      </c>
    </row>
    <row r="1141" spans="3:7" x14ac:dyDescent="0.3">
      <c r="C1141" s="39"/>
      <c r="D1141" s="35" t="s">
        <v>528</v>
      </c>
      <c r="E1141" s="35">
        <v>0.14000000000000001</v>
      </c>
      <c r="F1141" s="35">
        <v>44.18</v>
      </c>
      <c r="G1141" s="36">
        <v>41.74</v>
      </c>
    </row>
    <row r="1142" spans="3:7" x14ac:dyDescent="0.3">
      <c r="C1142" s="39"/>
      <c r="D1142" s="35" t="s">
        <v>528</v>
      </c>
      <c r="E1142" s="35">
        <v>0.14000000000000001</v>
      </c>
      <c r="F1142" s="35">
        <v>43.4</v>
      </c>
      <c r="G1142" s="36">
        <v>41.74</v>
      </c>
    </row>
    <row r="1143" spans="3:7" x14ac:dyDescent="0.3">
      <c r="C1143" s="39"/>
      <c r="D1143" s="35" t="s">
        <v>528</v>
      </c>
      <c r="E1143" s="35">
        <v>0.14000000000000001</v>
      </c>
      <c r="F1143" s="35">
        <v>43.84</v>
      </c>
      <c r="G1143" s="36">
        <v>41.74</v>
      </c>
    </row>
    <row r="1144" spans="3:7" x14ac:dyDescent="0.3">
      <c r="C1144" s="39"/>
      <c r="D1144" s="35" t="s">
        <v>528</v>
      </c>
      <c r="E1144" s="35">
        <v>7.0000000000000007E-2</v>
      </c>
      <c r="F1144" s="35">
        <v>21.72</v>
      </c>
      <c r="G1144" s="36">
        <v>41.74</v>
      </c>
    </row>
    <row r="1145" spans="3:7" x14ac:dyDescent="0.3">
      <c r="C1145" s="39"/>
      <c r="D1145" s="35" t="s">
        <v>528</v>
      </c>
      <c r="E1145" s="35">
        <v>0.14000000000000001</v>
      </c>
      <c r="F1145" s="35">
        <v>43.9</v>
      </c>
      <c r="G1145" s="36">
        <v>41.74</v>
      </c>
    </row>
    <row r="1146" spans="3:7" x14ac:dyDescent="0.3">
      <c r="C1146" s="39"/>
      <c r="D1146" s="35" t="s">
        <v>528</v>
      </c>
      <c r="E1146" s="35">
        <v>0.14000000000000001</v>
      </c>
      <c r="F1146" s="35">
        <v>43.74</v>
      </c>
      <c r="G1146" s="36">
        <v>41.74</v>
      </c>
    </row>
    <row r="1147" spans="3:7" x14ac:dyDescent="0.3">
      <c r="C1147" s="39"/>
      <c r="D1147" s="35" t="s">
        <v>537</v>
      </c>
      <c r="E1147" s="35">
        <v>0.08</v>
      </c>
      <c r="F1147" s="35">
        <v>22</v>
      </c>
      <c r="G1147" s="36">
        <v>38.380000000000003</v>
      </c>
    </row>
    <row r="1148" spans="3:7" x14ac:dyDescent="0.3">
      <c r="C1148" s="39"/>
      <c r="D1148" s="35" t="s">
        <v>539</v>
      </c>
      <c r="E1148" s="35">
        <v>7.0000000000000007E-2</v>
      </c>
      <c r="F1148" s="35">
        <v>20.367000000000001</v>
      </c>
      <c r="G1148" s="36">
        <v>38.380000000000003</v>
      </c>
    </row>
    <row r="1149" spans="3:7" x14ac:dyDescent="0.3">
      <c r="C1149" s="39"/>
      <c r="D1149" s="35" t="s">
        <v>540</v>
      </c>
      <c r="E1149" s="35">
        <v>0.25</v>
      </c>
      <c r="F1149" s="35">
        <v>33.787999999999997</v>
      </c>
      <c r="G1149" s="36">
        <v>18.18</v>
      </c>
    </row>
    <row r="1150" spans="3:7" x14ac:dyDescent="0.3">
      <c r="C1150" s="39"/>
      <c r="D1150" s="35" t="s">
        <v>541</v>
      </c>
      <c r="E1150" s="35">
        <v>0.1</v>
      </c>
      <c r="F1150" s="35">
        <v>5.4649999999999999</v>
      </c>
      <c r="G1150" s="36">
        <v>7.03</v>
      </c>
    </row>
    <row r="1151" spans="3:7" x14ac:dyDescent="0.3">
      <c r="C1151" s="39"/>
      <c r="D1151" s="35" t="s">
        <v>542</v>
      </c>
      <c r="E1151" s="35">
        <v>1.48</v>
      </c>
      <c r="F1151" s="35">
        <v>424.923</v>
      </c>
      <c r="G1151" s="36">
        <v>38.380000000000003</v>
      </c>
    </row>
    <row r="1152" spans="3:7" x14ac:dyDescent="0.3">
      <c r="C1152" s="39"/>
      <c r="D1152" s="35" t="s">
        <v>543</v>
      </c>
      <c r="E1152" s="35">
        <v>0.05</v>
      </c>
      <c r="F1152" s="35">
        <v>13.5</v>
      </c>
      <c r="G1152" s="36">
        <v>38.380000000000003</v>
      </c>
    </row>
    <row r="1153" spans="3:7" x14ac:dyDescent="0.3">
      <c r="C1153" s="39"/>
      <c r="D1153" s="35" t="s">
        <v>544</v>
      </c>
      <c r="E1153" s="35">
        <v>0.08</v>
      </c>
      <c r="F1153" s="35">
        <v>22.901</v>
      </c>
      <c r="G1153" s="36">
        <v>38.380000000000003</v>
      </c>
    </row>
    <row r="1154" spans="3:7" x14ac:dyDescent="0.3">
      <c r="C1154" s="39"/>
      <c r="D1154" s="35" t="s">
        <v>545</v>
      </c>
      <c r="E1154" s="35">
        <v>0.22</v>
      </c>
      <c r="F1154" s="35">
        <v>57.917000000000002</v>
      </c>
      <c r="G1154" s="36">
        <v>35.29</v>
      </c>
    </row>
    <row r="1155" spans="3:7" x14ac:dyDescent="0.3">
      <c r="C1155" s="39"/>
      <c r="D1155" s="35" t="s">
        <v>546</v>
      </c>
      <c r="E1155" s="35">
        <v>0.11</v>
      </c>
      <c r="F1155" s="35">
        <v>13.456</v>
      </c>
      <c r="G1155" s="36">
        <v>16.440000000000001</v>
      </c>
    </row>
    <row r="1156" spans="3:7" x14ac:dyDescent="0.3">
      <c r="C1156" s="39"/>
      <c r="D1156" s="35" t="s">
        <v>547</v>
      </c>
      <c r="E1156" s="35">
        <v>0.09</v>
      </c>
      <c r="F1156" s="35">
        <v>10.66</v>
      </c>
      <c r="G1156" s="36">
        <v>15.51</v>
      </c>
    </row>
    <row r="1157" spans="3:7" x14ac:dyDescent="0.3">
      <c r="C1157" s="39"/>
      <c r="D1157" s="35" t="s">
        <v>548</v>
      </c>
      <c r="E1157" s="35">
        <v>0.39</v>
      </c>
      <c r="F1157" s="35">
        <v>111.575</v>
      </c>
      <c r="G1157" s="36">
        <v>38.380000000000003</v>
      </c>
    </row>
    <row r="1158" spans="3:7" x14ac:dyDescent="0.3">
      <c r="C1158" s="39"/>
      <c r="D1158" s="35" t="s">
        <v>549</v>
      </c>
      <c r="E1158" s="35">
        <v>0.11</v>
      </c>
      <c r="F1158" s="35">
        <v>11.734999999999999</v>
      </c>
      <c r="G1158" s="36">
        <v>14.15</v>
      </c>
    </row>
    <row r="1159" spans="3:7" x14ac:dyDescent="0.3">
      <c r="C1159" s="39"/>
      <c r="D1159" s="35" t="s">
        <v>550</v>
      </c>
      <c r="E1159" s="35">
        <v>0.1</v>
      </c>
      <c r="F1159" s="35">
        <v>28.518000000000001</v>
      </c>
      <c r="G1159" s="36">
        <v>38.380000000000003</v>
      </c>
    </row>
    <row r="1160" spans="3:7" x14ac:dyDescent="0.3">
      <c r="C1160" s="39"/>
      <c r="D1160" s="35" t="s">
        <v>551</v>
      </c>
      <c r="E1160" s="35">
        <v>0.08</v>
      </c>
      <c r="F1160" s="35">
        <v>23.283000000000001</v>
      </c>
      <c r="G1160" s="36">
        <v>38.380000000000003</v>
      </c>
    </row>
    <row r="1161" spans="3:7" x14ac:dyDescent="0.3">
      <c r="C1161" s="39"/>
      <c r="D1161" s="35" t="s">
        <v>552</v>
      </c>
      <c r="E1161" s="35">
        <v>0.08</v>
      </c>
      <c r="F1161" s="35">
        <v>21.634</v>
      </c>
      <c r="G1161" s="36">
        <v>38.380000000000003</v>
      </c>
    </row>
    <row r="1162" spans="3:7" x14ac:dyDescent="0.3">
      <c r="C1162" s="39"/>
      <c r="D1162" s="35" t="s">
        <v>553</v>
      </c>
      <c r="E1162" s="35">
        <v>0.09</v>
      </c>
      <c r="F1162" s="35">
        <v>25.727</v>
      </c>
      <c r="G1162" s="36">
        <v>38.380000000000003</v>
      </c>
    </row>
    <row r="1163" spans="3:7" x14ac:dyDescent="0.3">
      <c r="C1163" s="39"/>
      <c r="D1163" s="35" t="s">
        <v>554</v>
      </c>
      <c r="E1163" s="35">
        <v>0.39</v>
      </c>
      <c r="F1163" s="35">
        <v>112.476</v>
      </c>
      <c r="G1163" s="36">
        <v>38.380000000000003</v>
      </c>
    </row>
    <row r="1164" spans="3:7" x14ac:dyDescent="0.3">
      <c r="C1164" s="39"/>
      <c r="D1164" s="35" t="s">
        <v>555</v>
      </c>
      <c r="E1164" s="35">
        <v>0.15</v>
      </c>
      <c r="F1164" s="35">
        <v>19.928000000000001</v>
      </c>
      <c r="G1164" s="36">
        <v>17.23</v>
      </c>
    </row>
    <row r="1165" spans="3:7" x14ac:dyDescent="0.3">
      <c r="C1165" s="39"/>
      <c r="D1165" s="35" t="s">
        <v>556</v>
      </c>
      <c r="E1165" s="35">
        <v>7.0000000000000007E-2</v>
      </c>
      <c r="F1165" s="35">
        <v>23.824000000000002</v>
      </c>
      <c r="G1165" s="36">
        <v>43.59</v>
      </c>
    </row>
    <row r="1166" spans="3:7" x14ac:dyDescent="0.3">
      <c r="C1166" s="39"/>
      <c r="D1166" s="35" t="s">
        <v>557</v>
      </c>
      <c r="E1166" s="35">
        <v>0.81</v>
      </c>
      <c r="F1166" s="35">
        <v>234.37899999999999</v>
      </c>
      <c r="G1166" s="36">
        <v>38.380000000000003</v>
      </c>
    </row>
    <row r="1167" spans="3:7" x14ac:dyDescent="0.3">
      <c r="C1167" s="39"/>
      <c r="D1167" s="35" t="s">
        <v>558</v>
      </c>
      <c r="E1167" s="35">
        <v>0.13</v>
      </c>
      <c r="F1167" s="35">
        <v>20.218</v>
      </c>
      <c r="G1167" s="36">
        <v>21.38</v>
      </c>
    </row>
    <row r="1168" spans="3:7" x14ac:dyDescent="0.3">
      <c r="C1168" s="39"/>
      <c r="D1168" s="35" t="s">
        <v>559</v>
      </c>
      <c r="E1168" s="35">
        <v>0.08</v>
      </c>
      <c r="F1168" s="35">
        <v>16.302</v>
      </c>
      <c r="G1168" s="36">
        <v>27.83</v>
      </c>
    </row>
    <row r="1169" spans="3:7" x14ac:dyDescent="0.3">
      <c r="C1169" s="39"/>
      <c r="D1169" s="35" t="s">
        <v>560</v>
      </c>
      <c r="E1169" s="35">
        <v>0.06</v>
      </c>
      <c r="F1169" s="35">
        <v>26.071999999999999</v>
      </c>
      <c r="G1169" s="36">
        <v>55.21</v>
      </c>
    </row>
    <row r="1170" spans="3:7" x14ac:dyDescent="0.3">
      <c r="C1170" s="39"/>
      <c r="D1170" s="40" t="s">
        <v>561</v>
      </c>
      <c r="E1170" s="40">
        <v>0</v>
      </c>
      <c r="F1170" s="40">
        <v>0.02</v>
      </c>
      <c r="G1170" s="41">
        <v>44.11</v>
      </c>
    </row>
    <row r="1171" spans="3:7" x14ac:dyDescent="0.3">
      <c r="C1171" s="39"/>
      <c r="D1171" s="35" t="s">
        <v>562</v>
      </c>
      <c r="E1171" s="35">
        <v>0.28999999999999998</v>
      </c>
      <c r="F1171" s="35">
        <v>50.491999999999997</v>
      </c>
      <c r="G1171" s="36">
        <v>23.09</v>
      </c>
    </row>
    <row r="1172" spans="3:7" x14ac:dyDescent="0.3">
      <c r="C1172" s="39"/>
      <c r="D1172" s="35" t="s">
        <v>552</v>
      </c>
      <c r="E1172" s="35">
        <v>0.06</v>
      </c>
      <c r="F1172" s="35">
        <v>16.760000000000002</v>
      </c>
      <c r="G1172" s="36">
        <v>38.380000000000003</v>
      </c>
    </row>
    <row r="1173" spans="3:7" x14ac:dyDescent="0.3">
      <c r="C1173" s="39"/>
      <c r="D1173" s="35" t="s">
        <v>563</v>
      </c>
      <c r="E1173" s="35">
        <v>0.08</v>
      </c>
      <c r="F1173" s="35">
        <v>22.315000000000001</v>
      </c>
      <c r="G1173" s="36">
        <v>38.380000000000003</v>
      </c>
    </row>
    <row r="1174" spans="3:7" x14ac:dyDescent="0.3">
      <c r="C1174" s="39"/>
      <c r="D1174" s="35" t="s">
        <v>561</v>
      </c>
      <c r="E1174" s="35">
        <v>0.04</v>
      </c>
      <c r="F1174" s="35">
        <v>12.92</v>
      </c>
      <c r="G1174" s="36">
        <v>44.11</v>
      </c>
    </row>
    <row r="1175" spans="3:7" x14ac:dyDescent="0.3">
      <c r="C1175" s="39"/>
      <c r="D1175" s="35" t="s">
        <v>564</v>
      </c>
      <c r="E1175" s="35">
        <v>0.09</v>
      </c>
      <c r="F1175" s="35">
        <v>25.1</v>
      </c>
      <c r="G1175" s="36">
        <v>38.380000000000003</v>
      </c>
    </row>
    <row r="1176" spans="3:7" x14ac:dyDescent="0.3">
      <c r="C1176" s="39"/>
      <c r="D1176" s="35" t="s">
        <v>565</v>
      </c>
      <c r="E1176" s="35">
        <v>0.08</v>
      </c>
      <c r="F1176" s="35">
        <v>22.481000000000002</v>
      </c>
      <c r="G1176" s="36">
        <v>38.380000000000003</v>
      </c>
    </row>
    <row r="1177" spans="3:7" x14ac:dyDescent="0.3">
      <c r="C1177" s="39"/>
      <c r="D1177" s="35" t="s">
        <v>566</v>
      </c>
      <c r="E1177" s="35">
        <v>0</v>
      </c>
      <c r="F1177" s="35">
        <v>3.6999999999999998E-2</v>
      </c>
      <c r="G1177" s="36">
        <v>15.06</v>
      </c>
    </row>
    <row r="1178" spans="3:7" x14ac:dyDescent="0.3">
      <c r="C1178" s="39"/>
      <c r="D1178" s="35" t="s">
        <v>567</v>
      </c>
      <c r="E1178" s="35">
        <v>0.05</v>
      </c>
      <c r="F1178" s="35">
        <v>14.475</v>
      </c>
      <c r="G1178" s="36">
        <v>38.380000000000003</v>
      </c>
    </row>
    <row r="1179" spans="3:7" x14ac:dyDescent="0.3">
      <c r="C1179" s="39"/>
      <c r="D1179" s="35" t="s">
        <v>568</v>
      </c>
      <c r="E1179" s="35">
        <v>0.08</v>
      </c>
      <c r="F1179" s="35">
        <v>21.76</v>
      </c>
      <c r="G1179" s="36">
        <v>38.380000000000003</v>
      </c>
    </row>
    <row r="1180" spans="3:7" x14ac:dyDescent="0.3">
      <c r="C1180" s="39"/>
      <c r="D1180" s="35" t="s">
        <v>569</v>
      </c>
      <c r="E1180" s="35">
        <v>7.0000000000000007E-2</v>
      </c>
      <c r="F1180" s="35">
        <v>9.41</v>
      </c>
      <c r="G1180" s="36">
        <v>18.2</v>
      </c>
    </row>
    <row r="1181" spans="3:7" x14ac:dyDescent="0.3">
      <c r="C1181" s="39"/>
      <c r="D1181" s="35" t="s">
        <v>570</v>
      </c>
      <c r="E1181" s="35">
        <v>0.17</v>
      </c>
      <c r="F1181" s="35">
        <v>34.86</v>
      </c>
      <c r="G1181" s="36">
        <v>27.2</v>
      </c>
    </row>
    <row r="1182" spans="3:7" x14ac:dyDescent="0.3">
      <c r="C1182" s="39"/>
      <c r="D1182" s="35" t="s">
        <v>571</v>
      </c>
      <c r="E1182" s="35">
        <v>0.1</v>
      </c>
      <c r="F1182" s="35">
        <v>22.96</v>
      </c>
      <c r="G1182" s="36">
        <v>30.15</v>
      </c>
    </row>
    <row r="1183" spans="3:7" x14ac:dyDescent="0.3">
      <c r="C1183" s="39"/>
      <c r="D1183" s="35" t="s">
        <v>568</v>
      </c>
      <c r="E1183" s="35">
        <v>7.0000000000000007E-2</v>
      </c>
      <c r="F1183" s="35">
        <v>19.739999999999998</v>
      </c>
      <c r="G1183" s="36">
        <v>38.380000000000003</v>
      </c>
    </row>
    <row r="1184" spans="3:7" x14ac:dyDescent="0.3">
      <c r="C1184" s="39"/>
      <c r="D1184" s="35" t="s">
        <v>572</v>
      </c>
      <c r="E1184" s="35">
        <v>0.53</v>
      </c>
      <c r="F1184" s="35">
        <v>181.84</v>
      </c>
      <c r="G1184" s="36">
        <v>45.41</v>
      </c>
    </row>
    <row r="1185" spans="3:7" x14ac:dyDescent="0.3">
      <c r="C1185" s="39"/>
      <c r="D1185" s="35" t="s">
        <v>573</v>
      </c>
      <c r="E1185" s="35">
        <v>0.1</v>
      </c>
      <c r="F1185" s="35">
        <v>29.594000000000001</v>
      </c>
      <c r="G1185" s="36">
        <v>38.380000000000003</v>
      </c>
    </row>
    <row r="1186" spans="3:7" x14ac:dyDescent="0.3">
      <c r="C1186" s="39"/>
      <c r="D1186" s="35" t="s">
        <v>572</v>
      </c>
      <c r="E1186" s="35">
        <v>0.05</v>
      </c>
      <c r="F1186" s="35">
        <v>17.186</v>
      </c>
      <c r="G1186" s="36">
        <v>45.41</v>
      </c>
    </row>
    <row r="1187" spans="3:7" x14ac:dyDescent="0.3">
      <c r="C1187" s="39"/>
      <c r="D1187" s="35" t="s">
        <v>562</v>
      </c>
      <c r="E1187" s="35">
        <v>0.14000000000000001</v>
      </c>
      <c r="F1187" s="35">
        <v>24.7</v>
      </c>
      <c r="G1187" s="36">
        <v>23.09</v>
      </c>
    </row>
    <row r="1188" spans="3:7" x14ac:dyDescent="0.3">
      <c r="C1188" s="39"/>
      <c r="D1188" s="35" t="s">
        <v>562</v>
      </c>
      <c r="E1188" s="35">
        <v>7.0000000000000007E-2</v>
      </c>
      <c r="F1188" s="35">
        <v>11.63</v>
      </c>
      <c r="G1188" s="36">
        <v>23.09</v>
      </c>
    </row>
    <row r="1189" spans="3:7" x14ac:dyDescent="0.3">
      <c r="C1189" s="39"/>
      <c r="D1189" s="35" t="s">
        <v>574</v>
      </c>
      <c r="E1189" s="35">
        <v>0.06</v>
      </c>
      <c r="F1189" s="35">
        <v>10.701000000000001</v>
      </c>
      <c r="G1189" s="36">
        <v>24.93</v>
      </c>
    </row>
    <row r="1190" spans="3:7" x14ac:dyDescent="0.3">
      <c r="C1190" s="39"/>
      <c r="D1190" s="35" t="s">
        <v>562</v>
      </c>
      <c r="E1190" s="35">
        <v>0.14000000000000001</v>
      </c>
      <c r="F1190" s="35">
        <v>24.114999999999998</v>
      </c>
      <c r="G1190" s="36">
        <v>23.09</v>
      </c>
    </row>
    <row r="1191" spans="3:7" x14ac:dyDescent="0.3">
      <c r="C1191" s="39"/>
      <c r="D1191" s="35" t="s">
        <v>544</v>
      </c>
      <c r="E1191" s="35">
        <v>0.08</v>
      </c>
      <c r="F1191" s="35">
        <v>22.843</v>
      </c>
      <c r="G1191" s="36">
        <v>38.380000000000003</v>
      </c>
    </row>
    <row r="1192" spans="3:7" x14ac:dyDescent="0.3">
      <c r="C1192" s="39"/>
      <c r="D1192" s="35" t="s">
        <v>575</v>
      </c>
      <c r="E1192" s="35">
        <v>0.33</v>
      </c>
      <c r="F1192" s="35">
        <v>95</v>
      </c>
      <c r="G1192" s="36">
        <v>38.380000000000003</v>
      </c>
    </row>
    <row r="1193" spans="3:7" x14ac:dyDescent="0.3">
      <c r="C1193" s="39"/>
      <c r="D1193" s="35" t="s">
        <v>576</v>
      </c>
      <c r="E1193" s="35">
        <v>0.04</v>
      </c>
      <c r="F1193" s="35">
        <v>12.34</v>
      </c>
      <c r="G1193" s="36">
        <v>39.69</v>
      </c>
    </row>
    <row r="1194" spans="3:7" x14ac:dyDescent="0.3">
      <c r="C1194" s="39"/>
      <c r="D1194" s="35" t="s">
        <v>577</v>
      </c>
      <c r="E1194" s="35">
        <v>0.41</v>
      </c>
      <c r="F1194" s="35">
        <v>22.481000000000002</v>
      </c>
      <c r="G1194" s="36">
        <v>7.3</v>
      </c>
    </row>
    <row r="1195" spans="3:7" x14ac:dyDescent="0.3">
      <c r="C1195" s="39"/>
      <c r="D1195" s="35" t="s">
        <v>575</v>
      </c>
      <c r="E1195" s="35">
        <v>0.33</v>
      </c>
      <c r="F1195" s="35">
        <v>94.974999999999994</v>
      </c>
      <c r="G1195" s="36">
        <v>38.380000000000003</v>
      </c>
    </row>
    <row r="1196" spans="3:7" x14ac:dyDescent="0.3">
      <c r="C1196" s="39"/>
      <c r="D1196" s="35" t="s">
        <v>563</v>
      </c>
      <c r="E1196" s="35">
        <v>1.01</v>
      </c>
      <c r="F1196" s="35">
        <v>290.09500000000003</v>
      </c>
      <c r="G1196" s="36">
        <v>38.380000000000003</v>
      </c>
    </row>
    <row r="1197" spans="3:7" x14ac:dyDescent="0.3">
      <c r="C1197" s="39"/>
      <c r="D1197" s="35" t="s">
        <v>578</v>
      </c>
      <c r="E1197" s="35">
        <v>0.56999999999999995</v>
      </c>
      <c r="F1197" s="35">
        <v>16.43</v>
      </c>
      <c r="G1197" s="36">
        <v>3.84</v>
      </c>
    </row>
    <row r="1198" spans="3:7" x14ac:dyDescent="0.3">
      <c r="C1198" s="39"/>
      <c r="D1198" s="35" t="s">
        <v>557</v>
      </c>
      <c r="E1198" s="35">
        <v>1.57</v>
      </c>
      <c r="F1198" s="35">
        <v>450.75599999999997</v>
      </c>
      <c r="G1198" s="36">
        <v>38.380000000000003</v>
      </c>
    </row>
    <row r="1199" spans="3:7" x14ac:dyDescent="0.3">
      <c r="C1199" s="39"/>
      <c r="D1199" s="35" t="s">
        <v>576</v>
      </c>
      <c r="E1199" s="35">
        <v>0.08</v>
      </c>
      <c r="F1199" s="35">
        <v>22.9</v>
      </c>
      <c r="G1199" s="36">
        <v>39.69</v>
      </c>
    </row>
    <row r="1200" spans="3:7" x14ac:dyDescent="0.3">
      <c r="C1200" s="39"/>
      <c r="D1200" s="35" t="s">
        <v>576</v>
      </c>
      <c r="E1200" s="35">
        <v>0.09</v>
      </c>
      <c r="F1200" s="35">
        <v>26.533999999999999</v>
      </c>
      <c r="G1200" s="36">
        <v>39.69</v>
      </c>
    </row>
    <row r="1201" spans="3:7" x14ac:dyDescent="0.3">
      <c r="C1201" s="39"/>
      <c r="D1201" s="35" t="s">
        <v>579</v>
      </c>
      <c r="E1201" s="35">
        <v>0.14000000000000001</v>
      </c>
      <c r="F1201" s="35">
        <v>37.799999999999997</v>
      </c>
      <c r="G1201" s="36">
        <v>36.07</v>
      </c>
    </row>
    <row r="1202" spans="3:7" x14ac:dyDescent="0.3">
      <c r="C1202" s="39"/>
      <c r="D1202" s="35" t="s">
        <v>566</v>
      </c>
      <c r="E1202" s="35">
        <v>0.31</v>
      </c>
      <c r="F1202" s="35">
        <v>34.450000000000003</v>
      </c>
      <c r="G1202" s="36">
        <v>15.06</v>
      </c>
    </row>
    <row r="1203" spans="3:7" x14ac:dyDescent="0.3">
      <c r="C1203" s="39"/>
      <c r="D1203" s="35" t="s">
        <v>580</v>
      </c>
      <c r="E1203" s="35">
        <v>0.17</v>
      </c>
      <c r="F1203" s="35">
        <v>13.88</v>
      </c>
      <c r="G1203" s="36">
        <v>11.16</v>
      </c>
    </row>
    <row r="1204" spans="3:7" x14ac:dyDescent="0.3">
      <c r="C1204" s="39"/>
      <c r="D1204" s="35" t="s">
        <v>581</v>
      </c>
      <c r="E1204" s="35">
        <v>0.02</v>
      </c>
      <c r="F1204" s="35">
        <v>1.8</v>
      </c>
      <c r="G1204" s="36">
        <v>14.64</v>
      </c>
    </row>
    <row r="1205" spans="3:7" x14ac:dyDescent="0.3">
      <c r="C1205" s="39"/>
      <c r="D1205" s="35" t="s">
        <v>582</v>
      </c>
      <c r="E1205" s="35">
        <v>7.0000000000000007E-2</v>
      </c>
      <c r="F1205" s="35">
        <v>18.48</v>
      </c>
      <c r="G1205" s="36">
        <v>34.79</v>
      </c>
    </row>
    <row r="1206" spans="3:7" x14ac:dyDescent="0.3">
      <c r="C1206" s="39"/>
      <c r="D1206" s="35" t="s">
        <v>583</v>
      </c>
      <c r="E1206" s="35">
        <v>0.25</v>
      </c>
      <c r="F1206" s="35">
        <v>99.724000000000004</v>
      </c>
      <c r="G1206" s="36">
        <v>54.22</v>
      </c>
    </row>
    <row r="1207" spans="3:7" x14ac:dyDescent="0.3">
      <c r="C1207" s="39"/>
      <c r="D1207" s="35" t="s">
        <v>584</v>
      </c>
      <c r="E1207" s="35">
        <v>0.08</v>
      </c>
      <c r="F1207" s="35">
        <v>22.747</v>
      </c>
      <c r="G1207" s="36">
        <v>38.380000000000003</v>
      </c>
    </row>
    <row r="1208" spans="3:7" x14ac:dyDescent="0.3">
      <c r="C1208" s="39"/>
      <c r="D1208" s="35" t="s">
        <v>585</v>
      </c>
      <c r="E1208" s="35">
        <v>0.08</v>
      </c>
      <c r="F1208" s="35">
        <v>23.77</v>
      </c>
      <c r="G1208" s="36">
        <v>40.020000000000003</v>
      </c>
    </row>
    <row r="1209" spans="3:7" x14ac:dyDescent="0.3">
      <c r="C1209" s="39"/>
      <c r="D1209" s="35" t="s">
        <v>586</v>
      </c>
      <c r="E1209" s="35">
        <v>0.12</v>
      </c>
      <c r="F1209" s="35">
        <v>27.352</v>
      </c>
      <c r="G1209" s="36">
        <v>30.34</v>
      </c>
    </row>
    <row r="1210" spans="3:7" x14ac:dyDescent="0.3">
      <c r="C1210" s="39"/>
      <c r="D1210" s="35" t="s">
        <v>587</v>
      </c>
      <c r="E1210" s="35">
        <v>0.05</v>
      </c>
      <c r="F1210" s="35">
        <v>15.180999999999999</v>
      </c>
      <c r="G1210" s="36">
        <v>38.380000000000003</v>
      </c>
    </row>
    <row r="1211" spans="3:7" x14ac:dyDescent="0.3">
      <c r="C1211" s="39"/>
      <c r="D1211" s="35" t="s">
        <v>586</v>
      </c>
      <c r="E1211" s="35">
        <v>0.12</v>
      </c>
      <c r="F1211" s="35">
        <v>27.352</v>
      </c>
      <c r="G1211" s="36">
        <v>30.34</v>
      </c>
    </row>
    <row r="1212" spans="3:7" x14ac:dyDescent="0.3">
      <c r="C1212" s="39"/>
      <c r="D1212" s="35" t="s">
        <v>588</v>
      </c>
      <c r="E1212" s="35">
        <v>0.35</v>
      </c>
      <c r="F1212" s="35">
        <v>101.435</v>
      </c>
      <c r="G1212" s="36">
        <v>38.380000000000003</v>
      </c>
    </row>
    <row r="1213" spans="3:7" x14ac:dyDescent="0.3">
      <c r="C1213" s="39"/>
      <c r="D1213" s="35" t="s">
        <v>576</v>
      </c>
      <c r="E1213" s="35">
        <v>0.12</v>
      </c>
      <c r="F1213" s="35">
        <v>36.19</v>
      </c>
      <c r="G1213" s="36">
        <v>39.69</v>
      </c>
    </row>
    <row r="1214" spans="3:7" x14ac:dyDescent="0.3">
      <c r="C1214" s="39"/>
      <c r="D1214" s="35" t="s">
        <v>589</v>
      </c>
      <c r="E1214" s="35">
        <v>0.3</v>
      </c>
      <c r="F1214" s="35">
        <v>86.823999999999998</v>
      </c>
      <c r="G1214" s="36">
        <v>38.380000000000003</v>
      </c>
    </row>
    <row r="1215" spans="3:7" x14ac:dyDescent="0.3">
      <c r="C1215" s="39"/>
      <c r="D1215" s="35" t="s">
        <v>328</v>
      </c>
      <c r="E1215" s="35">
        <v>0.04</v>
      </c>
      <c r="F1215" s="35">
        <v>5.1180000000000003</v>
      </c>
      <c r="G1215" s="36">
        <v>18.38</v>
      </c>
    </row>
    <row r="1216" spans="3:7" x14ac:dyDescent="0.3">
      <c r="C1216" s="39"/>
      <c r="D1216" s="35" t="s">
        <v>590</v>
      </c>
      <c r="E1216" s="35">
        <v>0.44</v>
      </c>
      <c r="F1216" s="35">
        <v>125.901</v>
      </c>
      <c r="G1216" s="36">
        <v>38.380000000000003</v>
      </c>
    </row>
    <row r="1217" spans="3:7" x14ac:dyDescent="0.3">
      <c r="C1217" s="39"/>
      <c r="D1217" s="35" t="s">
        <v>576</v>
      </c>
      <c r="E1217" s="35">
        <v>0.08</v>
      </c>
      <c r="F1217" s="35">
        <v>24.6</v>
      </c>
      <c r="G1217" s="36">
        <v>39.69</v>
      </c>
    </row>
    <row r="1218" spans="3:7" x14ac:dyDescent="0.3">
      <c r="C1218" s="39"/>
      <c r="D1218" s="35" t="s">
        <v>591</v>
      </c>
      <c r="E1218" s="35">
        <v>0.06</v>
      </c>
      <c r="F1218" s="35">
        <v>22.92</v>
      </c>
      <c r="G1218" s="36">
        <v>54.84</v>
      </c>
    </row>
    <row r="1219" spans="3:7" x14ac:dyDescent="0.3">
      <c r="C1219" s="39"/>
      <c r="D1219" s="35" t="s">
        <v>591</v>
      </c>
      <c r="E1219" s="35">
        <v>0.11</v>
      </c>
      <c r="F1219" s="35">
        <v>45.133000000000003</v>
      </c>
      <c r="G1219" s="36">
        <v>54.84</v>
      </c>
    </row>
    <row r="1220" spans="3:7" x14ac:dyDescent="0.3">
      <c r="C1220" s="39"/>
      <c r="D1220" s="35" t="s">
        <v>560</v>
      </c>
      <c r="E1220" s="35">
        <v>7.0000000000000007E-2</v>
      </c>
      <c r="F1220" s="35">
        <v>27.66</v>
      </c>
      <c r="G1220" s="36">
        <v>55.21</v>
      </c>
    </row>
    <row r="1221" spans="3:7" x14ac:dyDescent="0.3">
      <c r="C1221" s="39"/>
      <c r="D1221" s="35" t="s">
        <v>592</v>
      </c>
      <c r="E1221" s="35">
        <v>0.08</v>
      </c>
      <c r="F1221" s="35">
        <v>13.37</v>
      </c>
      <c r="G1221" s="36">
        <v>23</v>
      </c>
    </row>
    <row r="1222" spans="3:7" x14ac:dyDescent="0.3">
      <c r="C1222" s="39"/>
      <c r="D1222" s="35" t="s">
        <v>590</v>
      </c>
      <c r="E1222" s="35">
        <v>0.24</v>
      </c>
      <c r="F1222" s="35">
        <v>69.128</v>
      </c>
      <c r="G1222" s="36">
        <v>38.380000000000003</v>
      </c>
    </row>
    <row r="1223" spans="3:7" x14ac:dyDescent="0.3">
      <c r="C1223" s="39"/>
      <c r="D1223" s="35" t="s">
        <v>559</v>
      </c>
      <c r="E1223" s="35">
        <v>0.1</v>
      </c>
      <c r="F1223" s="35">
        <v>20.5</v>
      </c>
      <c r="G1223" s="36">
        <v>27.83</v>
      </c>
    </row>
    <row r="1224" spans="3:7" x14ac:dyDescent="0.3">
      <c r="C1224" s="39"/>
      <c r="D1224" s="35" t="s">
        <v>593</v>
      </c>
      <c r="E1224" s="35">
        <v>0.1</v>
      </c>
      <c r="F1224" s="35">
        <v>28.596</v>
      </c>
      <c r="G1224" s="36">
        <v>38.380000000000003</v>
      </c>
    </row>
    <row r="1225" spans="3:7" x14ac:dyDescent="0.3">
      <c r="C1225" s="39"/>
      <c r="D1225" s="35" t="s">
        <v>593</v>
      </c>
      <c r="E1225" s="35">
        <v>0.1</v>
      </c>
      <c r="F1225" s="35">
        <v>28.596</v>
      </c>
      <c r="G1225" s="36">
        <v>38.380000000000003</v>
      </c>
    </row>
    <row r="1226" spans="3:7" x14ac:dyDescent="0.3">
      <c r="C1226" s="39"/>
      <c r="D1226" s="35" t="s">
        <v>593</v>
      </c>
      <c r="E1226" s="35">
        <v>0.1</v>
      </c>
      <c r="F1226" s="35">
        <v>28.596</v>
      </c>
      <c r="G1226" s="36">
        <v>38.380000000000003</v>
      </c>
    </row>
    <row r="1227" spans="3:7" x14ac:dyDescent="0.3">
      <c r="C1227" s="39"/>
      <c r="D1227" s="35" t="s">
        <v>561</v>
      </c>
      <c r="E1227" s="35">
        <v>0.1</v>
      </c>
      <c r="F1227" s="35">
        <v>33.966999999999999</v>
      </c>
      <c r="G1227" s="36">
        <v>44.11</v>
      </c>
    </row>
    <row r="1228" spans="3:7" x14ac:dyDescent="0.3">
      <c r="C1228" s="39"/>
      <c r="D1228" s="35" t="s">
        <v>561</v>
      </c>
      <c r="E1228" s="35">
        <v>0.09</v>
      </c>
      <c r="F1228" s="35">
        <v>28.5</v>
      </c>
      <c r="G1228" s="36">
        <v>44.11</v>
      </c>
    </row>
    <row r="1229" spans="3:7" x14ac:dyDescent="0.3">
      <c r="C1229" s="39"/>
      <c r="D1229" s="35" t="s">
        <v>561</v>
      </c>
      <c r="E1229" s="35">
        <v>0.04</v>
      </c>
      <c r="F1229" s="35">
        <v>14.3</v>
      </c>
      <c r="G1229" s="36">
        <v>44.11</v>
      </c>
    </row>
    <row r="1230" spans="3:7" x14ac:dyDescent="0.3">
      <c r="C1230" s="39"/>
      <c r="D1230" s="35" t="s">
        <v>583</v>
      </c>
      <c r="E1230" s="35">
        <v>0.06</v>
      </c>
      <c r="F1230" s="35">
        <v>22.504000000000001</v>
      </c>
      <c r="G1230" s="36">
        <v>54.22</v>
      </c>
    </row>
    <row r="1231" spans="3:7" x14ac:dyDescent="0.3">
      <c r="C1231" s="39"/>
      <c r="D1231" s="35" t="s">
        <v>594</v>
      </c>
      <c r="E1231" s="35">
        <v>0.31</v>
      </c>
      <c r="F1231" s="35">
        <v>90.391999999999996</v>
      </c>
      <c r="G1231" s="36">
        <v>38.380000000000003</v>
      </c>
    </row>
    <row r="1232" spans="3:7" x14ac:dyDescent="0.3">
      <c r="C1232" s="39"/>
      <c r="D1232" s="35" t="s">
        <v>560</v>
      </c>
      <c r="E1232" s="35">
        <v>7.0000000000000007E-2</v>
      </c>
      <c r="F1232" s="35">
        <v>28.751999999999999</v>
      </c>
      <c r="G1232" s="36">
        <v>55.21</v>
      </c>
    </row>
    <row r="1233" spans="3:7" x14ac:dyDescent="0.3">
      <c r="C1233" s="39"/>
      <c r="D1233" s="35" t="s">
        <v>595</v>
      </c>
      <c r="E1233" s="35">
        <v>7.0000000000000007E-2</v>
      </c>
      <c r="F1233" s="35">
        <v>21.19</v>
      </c>
      <c r="G1233" s="36">
        <v>38.340000000000003</v>
      </c>
    </row>
    <row r="1234" spans="3:7" x14ac:dyDescent="0.3">
      <c r="C1234" s="39"/>
      <c r="D1234" s="35" t="s">
        <v>576</v>
      </c>
      <c r="E1234" s="35">
        <v>0.08</v>
      </c>
      <c r="F1234" s="35">
        <v>24.74</v>
      </c>
      <c r="G1234" s="36">
        <v>39.69</v>
      </c>
    </row>
    <row r="1235" spans="3:7" x14ac:dyDescent="0.3">
      <c r="C1235" s="39"/>
      <c r="D1235" s="35" t="s">
        <v>592</v>
      </c>
      <c r="E1235" s="35">
        <v>0.22</v>
      </c>
      <c r="F1235" s="35">
        <v>37.118000000000002</v>
      </c>
      <c r="G1235" s="36">
        <v>23</v>
      </c>
    </row>
    <row r="1236" spans="3:7" x14ac:dyDescent="0.3">
      <c r="C1236" s="39"/>
      <c r="D1236" s="35" t="s">
        <v>596</v>
      </c>
      <c r="E1236" s="35">
        <v>0.09</v>
      </c>
      <c r="F1236" s="35">
        <v>26.8</v>
      </c>
      <c r="G1236" s="36">
        <v>38.380000000000003</v>
      </c>
    </row>
    <row r="1237" spans="3:7" x14ac:dyDescent="0.3">
      <c r="C1237" s="39"/>
      <c r="D1237" s="35" t="s">
        <v>597</v>
      </c>
      <c r="E1237" s="35">
        <v>0.09</v>
      </c>
      <c r="F1237" s="35">
        <v>25.06</v>
      </c>
      <c r="G1237" s="36">
        <v>38.380000000000003</v>
      </c>
    </row>
    <row r="1238" spans="3:7" x14ac:dyDescent="0.3">
      <c r="C1238" s="39"/>
      <c r="D1238" s="35" t="s">
        <v>598</v>
      </c>
      <c r="E1238" s="35">
        <v>0.27</v>
      </c>
      <c r="F1238" s="35">
        <v>44.929000000000002</v>
      </c>
      <c r="G1238" s="36">
        <v>22.29</v>
      </c>
    </row>
    <row r="1239" spans="3:7" x14ac:dyDescent="0.3">
      <c r="C1239" s="39"/>
      <c r="D1239" s="35" t="s">
        <v>545</v>
      </c>
      <c r="E1239" s="35">
        <v>0.09</v>
      </c>
      <c r="F1239" s="35">
        <v>23.21</v>
      </c>
      <c r="G1239" s="36">
        <v>35.29</v>
      </c>
    </row>
    <row r="1240" spans="3:7" x14ac:dyDescent="0.3">
      <c r="C1240" s="39"/>
      <c r="D1240" s="35" t="s">
        <v>545</v>
      </c>
      <c r="E1240" s="35">
        <v>0.09</v>
      </c>
      <c r="F1240" s="35">
        <v>23.91</v>
      </c>
      <c r="G1240" s="36">
        <v>35.29</v>
      </c>
    </row>
    <row r="1241" spans="3:7" x14ac:dyDescent="0.3">
      <c r="C1241" s="39"/>
      <c r="D1241" s="35" t="s">
        <v>558</v>
      </c>
      <c r="E1241" s="35">
        <v>0.09</v>
      </c>
      <c r="F1241" s="35">
        <v>14.565</v>
      </c>
      <c r="G1241" s="36">
        <v>21.38</v>
      </c>
    </row>
    <row r="1242" spans="3:7" x14ac:dyDescent="0.3">
      <c r="C1242" s="39"/>
      <c r="D1242" s="35" t="s">
        <v>558</v>
      </c>
      <c r="E1242" s="35">
        <v>0.09</v>
      </c>
      <c r="F1242" s="35">
        <v>14.332000000000001</v>
      </c>
      <c r="G1242" s="36">
        <v>21.38</v>
      </c>
    </row>
    <row r="1243" spans="3:7" x14ac:dyDescent="0.3">
      <c r="C1243" s="39"/>
      <c r="D1243" s="35" t="s">
        <v>599</v>
      </c>
      <c r="E1243" s="35">
        <v>0.1</v>
      </c>
      <c r="F1243" s="35">
        <v>29.024999999999999</v>
      </c>
      <c r="G1243" s="36">
        <v>38.380000000000003</v>
      </c>
    </row>
    <row r="1244" spans="3:7" x14ac:dyDescent="0.3">
      <c r="C1244" s="39"/>
      <c r="D1244" s="35" t="s">
        <v>599</v>
      </c>
      <c r="E1244" s="35">
        <v>0.1</v>
      </c>
      <c r="F1244" s="35">
        <v>29.024999999999999</v>
      </c>
      <c r="G1244" s="36">
        <v>38.380000000000003</v>
      </c>
    </row>
    <row r="1245" spans="3:7" x14ac:dyDescent="0.3">
      <c r="C1245" s="39"/>
      <c r="D1245" s="35" t="s">
        <v>599</v>
      </c>
      <c r="E1245" s="35">
        <v>0.09</v>
      </c>
      <c r="F1245" s="35">
        <v>25.75</v>
      </c>
      <c r="G1245" s="36">
        <v>38.380000000000003</v>
      </c>
    </row>
    <row r="1246" spans="3:7" x14ac:dyDescent="0.3">
      <c r="C1246" s="39"/>
      <c r="D1246" s="35" t="s">
        <v>559</v>
      </c>
      <c r="E1246" s="35">
        <v>0.11</v>
      </c>
      <c r="F1246" s="35">
        <v>22.614999999999998</v>
      </c>
      <c r="G1246" s="36">
        <v>27.83</v>
      </c>
    </row>
    <row r="1247" spans="3:7" x14ac:dyDescent="0.3">
      <c r="C1247" s="39"/>
      <c r="D1247" s="35" t="s">
        <v>582</v>
      </c>
      <c r="E1247" s="35">
        <v>0.08</v>
      </c>
      <c r="F1247" s="35">
        <v>20.263999999999999</v>
      </c>
      <c r="G1247" s="36">
        <v>34.79</v>
      </c>
    </row>
    <row r="1248" spans="3:7" x14ac:dyDescent="0.3">
      <c r="C1248" s="39"/>
      <c r="D1248" s="35" t="s">
        <v>600</v>
      </c>
      <c r="E1248" s="35">
        <v>0.05</v>
      </c>
      <c r="F1248" s="35">
        <v>15.04</v>
      </c>
      <c r="G1248" s="36">
        <v>38.380000000000003</v>
      </c>
    </row>
    <row r="1249" spans="3:7" x14ac:dyDescent="0.3">
      <c r="C1249" s="39"/>
      <c r="D1249" s="35" t="s">
        <v>600</v>
      </c>
      <c r="E1249" s="35">
        <v>0.06</v>
      </c>
      <c r="F1249" s="35">
        <v>18.605</v>
      </c>
      <c r="G1249" s="36">
        <v>38.380000000000003</v>
      </c>
    </row>
    <row r="1250" spans="3:7" x14ac:dyDescent="0.3">
      <c r="C1250" s="39"/>
      <c r="D1250" s="35" t="s">
        <v>579</v>
      </c>
      <c r="E1250" s="35">
        <v>7.0000000000000007E-2</v>
      </c>
      <c r="F1250" s="35">
        <v>20.077000000000002</v>
      </c>
      <c r="G1250" s="36">
        <v>36.07</v>
      </c>
    </row>
    <row r="1251" spans="3:7" x14ac:dyDescent="0.3">
      <c r="C1251" s="39"/>
      <c r="D1251" s="35" t="s">
        <v>601</v>
      </c>
      <c r="E1251" s="35">
        <v>0.12</v>
      </c>
      <c r="F1251" s="35">
        <v>35.944000000000003</v>
      </c>
      <c r="G1251" s="36">
        <v>38.380000000000003</v>
      </c>
    </row>
    <row r="1252" spans="3:7" x14ac:dyDescent="0.3">
      <c r="C1252" s="39"/>
      <c r="D1252" s="35" t="s">
        <v>601</v>
      </c>
      <c r="E1252" s="35">
        <v>0.06</v>
      </c>
      <c r="F1252" s="35">
        <v>17.972000000000001</v>
      </c>
      <c r="G1252" s="36">
        <v>38.380000000000003</v>
      </c>
    </row>
    <row r="1253" spans="3:7" x14ac:dyDescent="0.3">
      <c r="C1253" s="39"/>
      <c r="D1253" s="35" t="s">
        <v>601</v>
      </c>
      <c r="E1253" s="35">
        <v>0.06</v>
      </c>
      <c r="F1253" s="35">
        <v>17.972000000000001</v>
      </c>
      <c r="G1253" s="36">
        <v>38.380000000000003</v>
      </c>
    </row>
    <row r="1254" spans="3:7" x14ac:dyDescent="0.3">
      <c r="C1254" s="39"/>
      <c r="D1254" s="35" t="s">
        <v>601</v>
      </c>
      <c r="E1254" s="35">
        <v>0.12</v>
      </c>
      <c r="F1254" s="35">
        <v>35.944000000000003</v>
      </c>
      <c r="G1254" s="36">
        <v>38.380000000000003</v>
      </c>
    </row>
    <row r="1255" spans="3:7" x14ac:dyDescent="0.3">
      <c r="C1255" s="39"/>
      <c r="D1255" s="35" t="s">
        <v>601</v>
      </c>
      <c r="E1255" s="35">
        <v>0.12</v>
      </c>
      <c r="F1255" s="35">
        <v>35.944000000000003</v>
      </c>
      <c r="G1255" s="36">
        <v>38.380000000000003</v>
      </c>
    </row>
    <row r="1256" spans="3:7" x14ac:dyDescent="0.3">
      <c r="C1256" s="39"/>
      <c r="D1256" s="35" t="s">
        <v>558</v>
      </c>
      <c r="E1256" s="35">
        <v>0.13</v>
      </c>
      <c r="F1256" s="35">
        <v>20.077000000000002</v>
      </c>
      <c r="G1256" s="36">
        <v>21.38</v>
      </c>
    </row>
    <row r="1257" spans="3:7" x14ac:dyDescent="0.3">
      <c r="C1257" s="39"/>
      <c r="D1257" s="35" t="s">
        <v>602</v>
      </c>
      <c r="E1257" s="35">
        <v>0.17</v>
      </c>
      <c r="F1257" s="35">
        <v>50.32</v>
      </c>
      <c r="G1257" s="36">
        <v>38.380000000000003</v>
      </c>
    </row>
    <row r="1258" spans="3:7" x14ac:dyDescent="0.3">
      <c r="C1258" s="39"/>
      <c r="D1258" s="35" t="s">
        <v>602</v>
      </c>
      <c r="E1258" s="35">
        <v>0.09</v>
      </c>
      <c r="F1258" s="35">
        <v>24.84</v>
      </c>
      <c r="G1258" s="36">
        <v>38.380000000000003</v>
      </c>
    </row>
    <row r="1259" spans="3:7" x14ac:dyDescent="0.3">
      <c r="C1259" s="39"/>
      <c r="D1259" s="35" t="s">
        <v>603</v>
      </c>
      <c r="E1259" s="35">
        <v>0.01</v>
      </c>
      <c r="F1259" s="35">
        <v>1.24</v>
      </c>
      <c r="G1259" s="36">
        <v>29.83</v>
      </c>
    </row>
    <row r="1260" spans="3:7" x14ac:dyDescent="0.3">
      <c r="C1260" s="39"/>
      <c r="D1260" s="35" t="s">
        <v>604</v>
      </c>
      <c r="E1260" s="35">
        <v>0.1</v>
      </c>
      <c r="F1260" s="35">
        <v>27.738</v>
      </c>
      <c r="G1260" s="36">
        <v>38.380000000000003</v>
      </c>
    </row>
    <row r="1261" spans="3:7" x14ac:dyDescent="0.3">
      <c r="C1261" s="39"/>
      <c r="D1261" s="35" t="s">
        <v>605</v>
      </c>
      <c r="E1261" s="35">
        <v>0.23</v>
      </c>
      <c r="F1261" s="35">
        <v>25</v>
      </c>
      <c r="G1261" s="36">
        <v>14.54</v>
      </c>
    </row>
    <row r="1262" spans="3:7" x14ac:dyDescent="0.3">
      <c r="C1262" s="39"/>
      <c r="D1262" s="35" t="s">
        <v>606</v>
      </c>
      <c r="E1262" s="35">
        <v>0.18</v>
      </c>
      <c r="F1262" s="35">
        <v>25</v>
      </c>
      <c r="G1262" s="36">
        <v>18.559999999999999</v>
      </c>
    </row>
    <row r="1263" spans="3:7" x14ac:dyDescent="0.3">
      <c r="C1263" s="39"/>
      <c r="D1263" s="35" t="s">
        <v>607</v>
      </c>
      <c r="E1263" s="35">
        <v>0.13</v>
      </c>
      <c r="F1263" s="35">
        <v>23.75</v>
      </c>
      <c r="G1263" s="36">
        <v>23.51</v>
      </c>
    </row>
    <row r="1264" spans="3:7" x14ac:dyDescent="0.3">
      <c r="C1264" s="39"/>
      <c r="D1264" s="35" t="s">
        <v>608</v>
      </c>
      <c r="E1264" s="35">
        <v>0.2</v>
      </c>
      <c r="F1264" s="35">
        <v>8.9510000000000005</v>
      </c>
      <c r="G1264" s="36">
        <v>6.05</v>
      </c>
    </row>
    <row r="1265" spans="3:7" x14ac:dyDescent="0.3">
      <c r="C1265" s="39"/>
      <c r="D1265" s="35" t="s">
        <v>609</v>
      </c>
      <c r="E1265" s="35">
        <v>0.02</v>
      </c>
      <c r="F1265" s="35">
        <v>11.475</v>
      </c>
      <c r="G1265" s="36">
        <v>65.61</v>
      </c>
    </row>
    <row r="1266" spans="3:7" x14ac:dyDescent="0.3">
      <c r="C1266" s="42"/>
      <c r="D1266" s="43" t="s">
        <v>610</v>
      </c>
      <c r="E1266" s="43">
        <v>0.01</v>
      </c>
      <c r="F1266" s="43">
        <v>2.915</v>
      </c>
      <c r="G1266" s="44">
        <v>29.83</v>
      </c>
    </row>
    <row r="1270" spans="3:7" x14ac:dyDescent="0.3">
      <c r="C1270" s="31" t="s">
        <v>611</v>
      </c>
      <c r="D1270" s="32" t="s">
        <v>24</v>
      </c>
      <c r="E1270" s="32" t="s">
        <v>10</v>
      </c>
      <c r="F1270" s="32" t="s">
        <v>11</v>
      </c>
      <c r="G1270" s="33" t="s">
        <v>25</v>
      </c>
    </row>
    <row r="1271" spans="3:7" x14ac:dyDescent="0.3">
      <c r="C1271" s="34" t="s">
        <v>612</v>
      </c>
      <c r="D1271" s="35" t="s">
        <v>561</v>
      </c>
      <c r="E1271" s="35">
        <v>0.09</v>
      </c>
      <c r="F1271" s="35">
        <v>28.17</v>
      </c>
      <c r="G1271" s="36">
        <v>44.11</v>
      </c>
    </row>
    <row r="1272" spans="3:7" x14ac:dyDescent="0.3">
      <c r="C1272" s="34" t="s">
        <v>613</v>
      </c>
      <c r="D1272" s="35" t="s">
        <v>561</v>
      </c>
      <c r="E1272" s="35">
        <v>0.09</v>
      </c>
      <c r="F1272" s="35">
        <v>28.21</v>
      </c>
      <c r="G1272" s="36">
        <v>44.11</v>
      </c>
    </row>
    <row r="1273" spans="3:7" x14ac:dyDescent="0.3">
      <c r="C1273" s="34" t="s">
        <v>506</v>
      </c>
      <c r="D1273" s="35" t="s">
        <v>561</v>
      </c>
      <c r="E1273" s="35">
        <v>0.09</v>
      </c>
      <c r="F1273" s="35">
        <v>28.51</v>
      </c>
      <c r="G1273" s="36">
        <v>44.11</v>
      </c>
    </row>
    <row r="1274" spans="3:7" x14ac:dyDescent="0.3">
      <c r="C1274" s="39"/>
      <c r="D1274" s="35" t="s">
        <v>601</v>
      </c>
      <c r="E1274" s="35">
        <v>0.06</v>
      </c>
      <c r="F1274" s="35">
        <v>17.972000000000001</v>
      </c>
      <c r="G1274" s="36">
        <v>38.380000000000003</v>
      </c>
    </row>
    <row r="1275" spans="3:7" x14ac:dyDescent="0.3">
      <c r="C1275" s="39"/>
      <c r="D1275" s="35" t="s">
        <v>592</v>
      </c>
      <c r="E1275" s="35">
        <v>0.12</v>
      </c>
      <c r="F1275" s="35">
        <v>20.652999999999999</v>
      </c>
      <c r="G1275" s="36">
        <v>23</v>
      </c>
    </row>
    <row r="1276" spans="3:7" x14ac:dyDescent="0.3">
      <c r="C1276" s="39"/>
      <c r="D1276" s="35" t="s">
        <v>614</v>
      </c>
      <c r="E1276" s="35">
        <v>0.02</v>
      </c>
      <c r="F1276" s="35">
        <v>4.7</v>
      </c>
      <c r="G1276" s="36">
        <v>25.76</v>
      </c>
    </row>
    <row r="1277" spans="3:7" x14ac:dyDescent="0.3">
      <c r="C1277" s="39"/>
      <c r="D1277" s="35" t="s">
        <v>590</v>
      </c>
      <c r="E1277" s="35">
        <v>0.09</v>
      </c>
      <c r="F1277" s="35">
        <v>26.28</v>
      </c>
      <c r="G1277" s="36">
        <v>38.380000000000003</v>
      </c>
    </row>
    <row r="1278" spans="3:7" x14ac:dyDescent="0.3">
      <c r="C1278" s="39"/>
      <c r="D1278" s="35" t="s">
        <v>615</v>
      </c>
      <c r="E1278" s="35">
        <v>0.08</v>
      </c>
      <c r="F1278" s="35">
        <v>12</v>
      </c>
      <c r="G1278" s="36">
        <v>19.28</v>
      </c>
    </row>
    <row r="1279" spans="3:7" x14ac:dyDescent="0.3">
      <c r="C1279" s="39"/>
      <c r="D1279" s="35" t="s">
        <v>616</v>
      </c>
      <c r="E1279" s="35">
        <v>0.05</v>
      </c>
      <c r="F1279" s="35">
        <v>12</v>
      </c>
      <c r="G1279" s="36">
        <v>30.69</v>
      </c>
    </row>
    <row r="1280" spans="3:7" x14ac:dyDescent="0.3">
      <c r="C1280" s="39"/>
      <c r="D1280" s="35" t="s">
        <v>617</v>
      </c>
      <c r="E1280" s="35">
        <v>0.1</v>
      </c>
      <c r="F1280" s="35">
        <v>25</v>
      </c>
      <c r="G1280" s="36">
        <v>33.44</v>
      </c>
    </row>
    <row r="1281" spans="3:7" x14ac:dyDescent="0.3">
      <c r="C1281" s="39"/>
      <c r="D1281" s="35" t="s">
        <v>605</v>
      </c>
      <c r="E1281" s="35">
        <v>0.23</v>
      </c>
      <c r="F1281" s="35">
        <v>25</v>
      </c>
      <c r="G1281" s="36">
        <v>14.54</v>
      </c>
    </row>
    <row r="1282" spans="3:7" x14ac:dyDescent="0.3">
      <c r="C1282" s="39"/>
      <c r="D1282" s="35" t="s">
        <v>618</v>
      </c>
      <c r="E1282" s="35">
        <v>0.03</v>
      </c>
      <c r="F1282" s="35">
        <v>10</v>
      </c>
      <c r="G1282" s="36">
        <v>39.119999999999997</v>
      </c>
    </row>
    <row r="1283" spans="3:7" x14ac:dyDescent="0.3">
      <c r="C1283" s="39"/>
      <c r="D1283" s="35" t="s">
        <v>619</v>
      </c>
      <c r="E1283" s="35">
        <v>0.05</v>
      </c>
      <c r="F1283" s="35">
        <v>14</v>
      </c>
      <c r="G1283" s="36">
        <v>34.56</v>
      </c>
    </row>
    <row r="1284" spans="3:7" x14ac:dyDescent="0.3">
      <c r="C1284" s="39"/>
      <c r="D1284" s="35" t="s">
        <v>620</v>
      </c>
      <c r="E1284" s="35">
        <v>7.0000000000000007E-2</v>
      </c>
      <c r="F1284" s="35">
        <v>14</v>
      </c>
      <c r="G1284" s="36">
        <v>26.63</v>
      </c>
    </row>
    <row r="1285" spans="3:7" x14ac:dyDescent="0.3">
      <c r="C1285" s="39"/>
      <c r="D1285" s="35" t="s">
        <v>621</v>
      </c>
      <c r="E1285" s="35">
        <v>0.1</v>
      </c>
      <c r="F1285" s="35">
        <v>14</v>
      </c>
      <c r="G1285" s="36">
        <v>19.440000000000001</v>
      </c>
    </row>
    <row r="1286" spans="3:7" x14ac:dyDescent="0.3">
      <c r="C1286" s="39"/>
      <c r="D1286" s="35" t="s">
        <v>622</v>
      </c>
      <c r="E1286" s="35">
        <v>0.06</v>
      </c>
      <c r="F1286" s="35">
        <v>12.5</v>
      </c>
      <c r="G1286" s="36">
        <v>29.1</v>
      </c>
    </row>
    <row r="1287" spans="3:7" x14ac:dyDescent="0.3">
      <c r="C1287" s="39"/>
      <c r="D1287" s="37" t="s">
        <v>623</v>
      </c>
      <c r="E1287" s="37">
        <v>0.18</v>
      </c>
      <c r="F1287" s="37">
        <v>54</v>
      </c>
      <c r="G1287" s="38">
        <v>39.020000000000003</v>
      </c>
    </row>
    <row r="1288" spans="3:7" x14ac:dyDescent="0.3">
      <c r="C1288" s="39"/>
      <c r="D1288" s="35" t="s">
        <v>624</v>
      </c>
      <c r="E1288" s="35">
        <v>0.11</v>
      </c>
      <c r="F1288" s="35">
        <v>21.7</v>
      </c>
      <c r="G1288" s="36">
        <v>26.3</v>
      </c>
    </row>
    <row r="1289" spans="3:7" x14ac:dyDescent="0.3">
      <c r="C1289" s="39"/>
      <c r="D1289" s="40" t="s">
        <v>625</v>
      </c>
      <c r="E1289" s="40">
        <v>0.01</v>
      </c>
      <c r="F1289" s="40">
        <v>2</v>
      </c>
      <c r="G1289" s="41">
        <v>21.55</v>
      </c>
    </row>
    <row r="1290" spans="3:7" x14ac:dyDescent="0.3">
      <c r="C1290" s="39"/>
      <c r="D1290" s="35" t="s">
        <v>626</v>
      </c>
      <c r="E1290" s="35">
        <v>0.1</v>
      </c>
      <c r="F1290" s="35">
        <v>20</v>
      </c>
      <c r="G1290" s="36">
        <v>28</v>
      </c>
    </row>
    <row r="1291" spans="3:7" x14ac:dyDescent="0.3">
      <c r="C1291" s="39"/>
      <c r="D1291" s="35" t="s">
        <v>627</v>
      </c>
      <c r="E1291" s="35">
        <v>0.05</v>
      </c>
      <c r="F1291" s="35">
        <v>10</v>
      </c>
      <c r="G1291" s="36">
        <v>26.04</v>
      </c>
    </row>
    <row r="1292" spans="3:7" x14ac:dyDescent="0.3">
      <c r="C1292" s="39"/>
      <c r="D1292" s="35" t="s">
        <v>628</v>
      </c>
      <c r="E1292" s="35">
        <v>0.06</v>
      </c>
      <c r="F1292" s="35">
        <v>9.34</v>
      </c>
      <c r="G1292" s="36">
        <v>20.48</v>
      </c>
    </row>
    <row r="1293" spans="3:7" x14ac:dyDescent="0.3">
      <c r="C1293" s="39"/>
      <c r="D1293" s="35" t="s">
        <v>629</v>
      </c>
      <c r="E1293" s="35">
        <v>7.0000000000000007E-2</v>
      </c>
      <c r="F1293" s="35">
        <v>12</v>
      </c>
      <c r="G1293" s="36">
        <v>24.13</v>
      </c>
    </row>
    <row r="1294" spans="3:7" x14ac:dyDescent="0.3">
      <c r="C1294" s="39"/>
      <c r="D1294" s="35" t="s">
        <v>630</v>
      </c>
      <c r="E1294" s="35">
        <v>7.0000000000000007E-2</v>
      </c>
      <c r="F1294" s="35">
        <v>14</v>
      </c>
      <c r="G1294" s="36">
        <v>25.25</v>
      </c>
    </row>
    <row r="1295" spans="3:7" x14ac:dyDescent="0.3">
      <c r="C1295" s="39"/>
      <c r="D1295" s="35" t="s">
        <v>631</v>
      </c>
      <c r="E1295" s="35">
        <v>0.15</v>
      </c>
      <c r="F1295" s="35">
        <v>25</v>
      </c>
      <c r="G1295" s="36">
        <v>21.79</v>
      </c>
    </row>
    <row r="1296" spans="3:7" x14ac:dyDescent="0.3">
      <c r="C1296" s="39"/>
      <c r="D1296" s="35" t="s">
        <v>607</v>
      </c>
      <c r="E1296" s="35">
        <v>0.11</v>
      </c>
      <c r="F1296" s="35">
        <v>20</v>
      </c>
      <c r="G1296" s="36">
        <v>23.51</v>
      </c>
    </row>
    <row r="1297" spans="3:7" x14ac:dyDescent="0.3">
      <c r="C1297" s="39"/>
      <c r="D1297" s="35" t="s">
        <v>632</v>
      </c>
      <c r="E1297" s="35">
        <v>0.01</v>
      </c>
      <c r="F1297" s="35">
        <v>3</v>
      </c>
      <c r="G1297" s="36">
        <v>26.95</v>
      </c>
    </row>
    <row r="1298" spans="3:7" x14ac:dyDescent="0.3">
      <c r="C1298" s="39"/>
      <c r="D1298" s="35" t="s">
        <v>633</v>
      </c>
      <c r="E1298" s="35">
        <v>0.06</v>
      </c>
      <c r="F1298" s="35">
        <v>14</v>
      </c>
      <c r="G1298" s="36">
        <v>30.74</v>
      </c>
    </row>
    <row r="1299" spans="3:7" x14ac:dyDescent="0.3">
      <c r="C1299" s="39"/>
      <c r="D1299" s="35" t="s">
        <v>634</v>
      </c>
      <c r="E1299" s="35">
        <v>0.03</v>
      </c>
      <c r="F1299" s="35">
        <v>6</v>
      </c>
      <c r="G1299" s="36">
        <v>31.51</v>
      </c>
    </row>
    <row r="1300" spans="3:7" x14ac:dyDescent="0.3">
      <c r="C1300" s="42"/>
      <c r="D1300" s="43" t="s">
        <v>610</v>
      </c>
      <c r="E1300" s="43">
        <v>0.05</v>
      </c>
      <c r="F1300" s="43">
        <v>12</v>
      </c>
      <c r="G1300" s="44">
        <v>29.83</v>
      </c>
    </row>
    <row r="1304" spans="3:7" x14ac:dyDescent="0.3">
      <c r="C1304" s="31" t="s">
        <v>635</v>
      </c>
      <c r="D1304" s="32" t="s">
        <v>24</v>
      </c>
      <c r="E1304" s="32" t="s">
        <v>10</v>
      </c>
      <c r="F1304" s="32" t="s">
        <v>11</v>
      </c>
      <c r="G1304" s="33" t="s">
        <v>25</v>
      </c>
    </row>
    <row r="1305" spans="3:7" x14ac:dyDescent="0.3">
      <c r="C1305" s="34" t="s">
        <v>636</v>
      </c>
      <c r="D1305" s="37" t="s">
        <v>637</v>
      </c>
      <c r="E1305" s="37">
        <v>0.38</v>
      </c>
      <c r="F1305" s="37">
        <v>50</v>
      </c>
      <c r="G1305" s="38">
        <v>17.52</v>
      </c>
    </row>
    <row r="1306" spans="3:7" x14ac:dyDescent="0.3">
      <c r="C1306" s="34" t="s">
        <v>638</v>
      </c>
      <c r="D1306" s="35" t="s">
        <v>581</v>
      </c>
      <c r="E1306" s="35">
        <v>0.1</v>
      </c>
      <c r="F1306" s="35">
        <v>11</v>
      </c>
      <c r="G1306" s="36">
        <v>14.64</v>
      </c>
    </row>
    <row r="1307" spans="3:7" x14ac:dyDescent="0.3">
      <c r="C1307" s="34" t="s">
        <v>506</v>
      </c>
      <c r="D1307" s="35" t="s">
        <v>601</v>
      </c>
      <c r="E1307" s="35">
        <v>0.12</v>
      </c>
      <c r="F1307" s="35">
        <v>35.674999999999997</v>
      </c>
      <c r="G1307" s="36">
        <v>38.380000000000003</v>
      </c>
    </row>
    <row r="1308" spans="3:7" x14ac:dyDescent="0.3">
      <c r="C1308" s="39"/>
      <c r="D1308" s="35" t="s">
        <v>639</v>
      </c>
      <c r="E1308" s="35">
        <v>7.0000000000000007E-2</v>
      </c>
      <c r="F1308" s="35">
        <v>24</v>
      </c>
      <c r="G1308" s="36">
        <v>43.63</v>
      </c>
    </row>
    <row r="1309" spans="3:7" x14ac:dyDescent="0.3">
      <c r="C1309" s="39"/>
      <c r="D1309" s="35" t="s">
        <v>640</v>
      </c>
      <c r="E1309" s="35">
        <v>0.1</v>
      </c>
      <c r="F1309" s="35">
        <v>24</v>
      </c>
      <c r="G1309" s="36">
        <v>32.9</v>
      </c>
    </row>
    <row r="1310" spans="3:7" x14ac:dyDescent="0.3">
      <c r="C1310" s="39"/>
      <c r="D1310" s="35" t="s">
        <v>641</v>
      </c>
      <c r="E1310" s="35">
        <v>0.09</v>
      </c>
      <c r="F1310" s="35">
        <v>24</v>
      </c>
      <c r="G1310" s="36">
        <v>34.28</v>
      </c>
    </row>
    <row r="1311" spans="3:7" x14ac:dyDescent="0.3">
      <c r="C1311" s="39"/>
      <c r="D1311" s="35" t="s">
        <v>605</v>
      </c>
      <c r="E1311" s="35">
        <v>0.23</v>
      </c>
      <c r="F1311" s="35">
        <v>25</v>
      </c>
      <c r="G1311" s="36">
        <v>14.54</v>
      </c>
    </row>
    <row r="1312" spans="3:7" x14ac:dyDescent="0.3">
      <c r="C1312" s="39"/>
      <c r="D1312" s="35" t="s">
        <v>642</v>
      </c>
      <c r="E1312" s="35">
        <v>0.19</v>
      </c>
      <c r="F1312" s="35">
        <v>39</v>
      </c>
      <c r="G1312" s="36">
        <v>27.74</v>
      </c>
    </row>
    <row r="1313" spans="3:7" x14ac:dyDescent="0.3">
      <c r="C1313" s="39"/>
      <c r="D1313" s="35" t="s">
        <v>643</v>
      </c>
      <c r="E1313" s="35">
        <v>7.0000000000000007E-2</v>
      </c>
      <c r="F1313" s="35">
        <v>14</v>
      </c>
      <c r="G1313" s="36">
        <v>28.68</v>
      </c>
    </row>
    <row r="1314" spans="3:7" x14ac:dyDescent="0.3">
      <c r="C1314" s="39"/>
      <c r="D1314" s="35" t="s">
        <v>644</v>
      </c>
      <c r="E1314" s="35">
        <v>7.0000000000000007E-2</v>
      </c>
      <c r="F1314" s="35">
        <v>14</v>
      </c>
      <c r="G1314" s="36">
        <v>24.89</v>
      </c>
    </row>
    <row r="1315" spans="3:7" x14ac:dyDescent="0.3">
      <c r="C1315" s="39"/>
      <c r="D1315" s="35" t="s">
        <v>622</v>
      </c>
      <c r="E1315" s="35">
        <v>0.06</v>
      </c>
      <c r="F1315" s="35">
        <v>12.5</v>
      </c>
      <c r="G1315" s="36">
        <v>29.1</v>
      </c>
    </row>
    <row r="1316" spans="3:7" x14ac:dyDescent="0.3">
      <c r="C1316" s="39"/>
      <c r="D1316" s="35" t="s">
        <v>645</v>
      </c>
      <c r="E1316" s="35">
        <v>0.04</v>
      </c>
      <c r="F1316" s="35">
        <v>11.47</v>
      </c>
      <c r="G1316" s="36">
        <v>34.619999999999997</v>
      </c>
    </row>
    <row r="1317" spans="3:7" x14ac:dyDescent="0.3">
      <c r="C1317" s="39"/>
      <c r="D1317" s="35" t="s">
        <v>646</v>
      </c>
      <c r="E1317" s="35">
        <v>0.04</v>
      </c>
      <c r="F1317" s="35">
        <v>8</v>
      </c>
      <c r="G1317" s="36">
        <v>28.42</v>
      </c>
    </row>
    <row r="1318" spans="3:7" x14ac:dyDescent="0.3">
      <c r="C1318" s="39"/>
      <c r="D1318" s="35" t="s">
        <v>624</v>
      </c>
      <c r="E1318" s="35">
        <v>0.11</v>
      </c>
      <c r="F1318" s="35">
        <v>21.7</v>
      </c>
      <c r="G1318" s="36">
        <v>26.3</v>
      </c>
    </row>
    <row r="1319" spans="3:7" x14ac:dyDescent="0.3">
      <c r="C1319" s="39"/>
      <c r="D1319" s="35" t="s">
        <v>647</v>
      </c>
      <c r="E1319" s="35">
        <v>0.01</v>
      </c>
      <c r="F1319" s="35">
        <v>1.7</v>
      </c>
      <c r="G1319" s="36">
        <v>22.41</v>
      </c>
    </row>
    <row r="1320" spans="3:7" x14ac:dyDescent="0.3">
      <c r="C1320" s="39"/>
      <c r="D1320" s="35" t="s">
        <v>625</v>
      </c>
      <c r="E1320" s="35">
        <v>0.01</v>
      </c>
      <c r="F1320" s="35">
        <v>2</v>
      </c>
      <c r="G1320" s="36">
        <v>21.55</v>
      </c>
    </row>
    <row r="1321" spans="3:7" x14ac:dyDescent="0.3">
      <c r="C1321" s="39"/>
      <c r="D1321" s="35" t="s">
        <v>607</v>
      </c>
      <c r="E1321" s="35">
        <v>0.04</v>
      </c>
      <c r="F1321" s="35">
        <v>6.4</v>
      </c>
      <c r="G1321" s="36">
        <v>23.51</v>
      </c>
    </row>
    <row r="1322" spans="3:7" x14ac:dyDescent="0.3">
      <c r="C1322" s="39"/>
      <c r="D1322" s="35" t="s">
        <v>632</v>
      </c>
      <c r="E1322" s="35">
        <v>0.08</v>
      </c>
      <c r="F1322" s="35">
        <v>17</v>
      </c>
      <c r="G1322" s="36">
        <v>26.95</v>
      </c>
    </row>
    <row r="1323" spans="3:7" x14ac:dyDescent="0.3">
      <c r="C1323" s="39"/>
      <c r="D1323" s="35" t="s">
        <v>633</v>
      </c>
      <c r="E1323" s="35">
        <v>0.08</v>
      </c>
      <c r="F1323" s="35">
        <v>18</v>
      </c>
      <c r="G1323" s="36">
        <v>30.74</v>
      </c>
    </row>
    <row r="1324" spans="3:7" x14ac:dyDescent="0.3">
      <c r="C1324" s="39"/>
      <c r="D1324" s="35" t="s">
        <v>648</v>
      </c>
      <c r="E1324" s="35">
        <v>0.05</v>
      </c>
      <c r="F1324" s="35">
        <v>11</v>
      </c>
      <c r="G1324" s="36">
        <v>29.9</v>
      </c>
    </row>
    <row r="1325" spans="3:7" x14ac:dyDescent="0.3">
      <c r="C1325" s="39"/>
      <c r="D1325" s="35" t="s">
        <v>649</v>
      </c>
      <c r="E1325" s="35">
        <v>0.06</v>
      </c>
      <c r="F1325" s="35">
        <v>4</v>
      </c>
      <c r="G1325" s="36">
        <v>9.17</v>
      </c>
    </row>
    <row r="1326" spans="3:7" x14ac:dyDescent="0.3">
      <c r="C1326" s="39"/>
      <c r="D1326" s="40" t="s">
        <v>608</v>
      </c>
      <c r="E1326" s="40">
        <v>0.03</v>
      </c>
      <c r="F1326" s="40">
        <v>1.4990000000000001</v>
      </c>
      <c r="G1326" s="41">
        <v>6.05</v>
      </c>
    </row>
    <row r="1327" spans="3:7" x14ac:dyDescent="0.3">
      <c r="C1327" s="39"/>
      <c r="D1327" s="35" t="s">
        <v>609</v>
      </c>
      <c r="E1327" s="35">
        <v>0.02</v>
      </c>
      <c r="F1327" s="35">
        <v>10</v>
      </c>
      <c r="G1327" s="36">
        <v>65.61</v>
      </c>
    </row>
    <row r="1328" spans="3:7" x14ac:dyDescent="0.3">
      <c r="C1328" s="39"/>
      <c r="D1328" s="35" t="s">
        <v>650</v>
      </c>
      <c r="E1328" s="35">
        <v>0.06</v>
      </c>
      <c r="F1328" s="35">
        <v>10</v>
      </c>
      <c r="G1328" s="36">
        <v>23.04</v>
      </c>
    </row>
    <row r="1329" spans="3:7" x14ac:dyDescent="0.3">
      <c r="C1329" s="39"/>
      <c r="D1329" s="35" t="s">
        <v>651</v>
      </c>
      <c r="E1329" s="35">
        <v>0.06</v>
      </c>
      <c r="F1329" s="35">
        <v>10</v>
      </c>
      <c r="G1329" s="36">
        <v>23.04</v>
      </c>
    </row>
    <row r="1330" spans="3:7" x14ac:dyDescent="0.3">
      <c r="C1330" s="39"/>
      <c r="D1330" s="35" t="s">
        <v>652</v>
      </c>
      <c r="E1330" s="35">
        <v>0.68</v>
      </c>
      <c r="F1330" s="35">
        <v>6</v>
      </c>
      <c r="G1330" s="36">
        <v>1.17</v>
      </c>
    </row>
    <row r="1331" spans="3:7" x14ac:dyDescent="0.3">
      <c r="C1331" s="42"/>
      <c r="D1331" s="43" t="s">
        <v>653</v>
      </c>
      <c r="E1331" s="43">
        <v>0.03</v>
      </c>
      <c r="F1331" s="43">
        <v>6</v>
      </c>
      <c r="G1331" s="44">
        <v>28.86</v>
      </c>
    </row>
    <row r="1335" spans="3:7" x14ac:dyDescent="0.3">
      <c r="C1335" s="31" t="s">
        <v>654</v>
      </c>
      <c r="D1335" s="32" t="s">
        <v>24</v>
      </c>
      <c r="E1335" s="32" t="s">
        <v>10</v>
      </c>
      <c r="F1335" s="32" t="s">
        <v>11</v>
      </c>
      <c r="G1335" s="33" t="s">
        <v>25</v>
      </c>
    </row>
    <row r="1336" spans="3:7" x14ac:dyDescent="0.3">
      <c r="C1336" s="34" t="s">
        <v>655</v>
      </c>
      <c r="D1336" s="35" t="s">
        <v>558</v>
      </c>
      <c r="E1336" s="35">
        <v>7.0000000000000007E-2</v>
      </c>
      <c r="F1336" s="35">
        <v>10.587</v>
      </c>
      <c r="G1336" s="36">
        <v>21.38</v>
      </c>
    </row>
    <row r="1337" spans="3:7" x14ac:dyDescent="0.3">
      <c r="C1337" s="34" t="s">
        <v>656</v>
      </c>
      <c r="D1337" s="35" t="s">
        <v>590</v>
      </c>
      <c r="E1337" s="35">
        <v>0.04</v>
      </c>
      <c r="F1337" s="35">
        <v>11.614000000000001</v>
      </c>
      <c r="G1337" s="36">
        <v>38.380000000000003</v>
      </c>
    </row>
    <row r="1338" spans="3:7" x14ac:dyDescent="0.3">
      <c r="C1338" s="34" t="s">
        <v>506</v>
      </c>
      <c r="D1338" s="35" t="s">
        <v>594</v>
      </c>
      <c r="E1338" s="35">
        <v>0.08</v>
      </c>
      <c r="F1338" s="35">
        <v>23.148</v>
      </c>
      <c r="G1338" s="36">
        <v>38.380000000000003</v>
      </c>
    </row>
    <row r="1339" spans="3:7" x14ac:dyDescent="0.3">
      <c r="C1339" s="39"/>
      <c r="D1339" s="35" t="s">
        <v>590</v>
      </c>
      <c r="E1339" s="35">
        <v>0.1</v>
      </c>
      <c r="F1339" s="35">
        <v>29.765999999999998</v>
      </c>
      <c r="G1339" s="36">
        <v>38.380000000000003</v>
      </c>
    </row>
    <row r="1340" spans="3:7" x14ac:dyDescent="0.3">
      <c r="C1340" s="39"/>
      <c r="D1340" s="35" t="s">
        <v>657</v>
      </c>
      <c r="E1340" s="35">
        <v>0.13</v>
      </c>
      <c r="F1340" s="35">
        <v>20.077000000000002</v>
      </c>
      <c r="G1340" s="36">
        <v>19.899999999999999</v>
      </c>
    </row>
    <row r="1341" spans="3:7" x14ac:dyDescent="0.3">
      <c r="C1341" s="39"/>
      <c r="D1341" s="35" t="s">
        <v>617</v>
      </c>
      <c r="E1341" s="35">
        <v>0.05</v>
      </c>
      <c r="F1341" s="35">
        <v>12</v>
      </c>
      <c r="G1341" s="36">
        <v>33.44</v>
      </c>
    </row>
    <row r="1342" spans="3:7" x14ac:dyDescent="0.3">
      <c r="C1342" s="39"/>
      <c r="D1342" s="35" t="s">
        <v>605</v>
      </c>
      <c r="E1342" s="35">
        <v>0.23</v>
      </c>
      <c r="F1342" s="35">
        <v>25</v>
      </c>
      <c r="G1342" s="36">
        <v>14.54</v>
      </c>
    </row>
    <row r="1343" spans="3:7" x14ac:dyDescent="0.3">
      <c r="C1343" s="39"/>
      <c r="D1343" s="35" t="s">
        <v>658</v>
      </c>
      <c r="E1343" s="35">
        <v>0.04</v>
      </c>
      <c r="F1343" s="35">
        <v>12</v>
      </c>
      <c r="G1343" s="36">
        <v>38.01</v>
      </c>
    </row>
    <row r="1344" spans="3:7" x14ac:dyDescent="0.3">
      <c r="C1344" s="39"/>
      <c r="D1344" s="35" t="s">
        <v>659</v>
      </c>
      <c r="E1344" s="35">
        <v>0.05</v>
      </c>
      <c r="F1344" s="35">
        <v>7.5</v>
      </c>
      <c r="G1344" s="36">
        <v>19.28</v>
      </c>
    </row>
    <row r="1345" spans="3:7" x14ac:dyDescent="0.3">
      <c r="C1345" s="39"/>
      <c r="D1345" s="35" t="s">
        <v>618</v>
      </c>
      <c r="E1345" s="35">
        <v>0.03</v>
      </c>
      <c r="F1345" s="35">
        <v>10</v>
      </c>
      <c r="G1345" s="36">
        <v>39.119999999999997</v>
      </c>
    </row>
    <row r="1346" spans="3:7" x14ac:dyDescent="0.3">
      <c r="C1346" s="39"/>
      <c r="D1346" s="35" t="s">
        <v>660</v>
      </c>
      <c r="E1346" s="35">
        <v>0.08</v>
      </c>
      <c r="F1346" s="35">
        <v>14</v>
      </c>
      <c r="G1346" s="36">
        <v>23.83</v>
      </c>
    </row>
    <row r="1347" spans="3:7" x14ac:dyDescent="0.3">
      <c r="C1347" s="39"/>
      <c r="D1347" s="35" t="s">
        <v>620</v>
      </c>
      <c r="E1347" s="35">
        <v>7.0000000000000007E-2</v>
      </c>
      <c r="F1347" s="35">
        <v>14</v>
      </c>
      <c r="G1347" s="36">
        <v>26.63</v>
      </c>
    </row>
    <row r="1348" spans="3:7" x14ac:dyDescent="0.3">
      <c r="C1348" s="39"/>
      <c r="D1348" s="35" t="s">
        <v>621</v>
      </c>
      <c r="E1348" s="35">
        <v>0.1</v>
      </c>
      <c r="F1348" s="35">
        <v>14</v>
      </c>
      <c r="G1348" s="36">
        <v>19.440000000000001</v>
      </c>
    </row>
    <row r="1349" spans="3:7" x14ac:dyDescent="0.3">
      <c r="C1349" s="39"/>
      <c r="D1349" s="35" t="s">
        <v>661</v>
      </c>
      <c r="E1349" s="35">
        <v>0.04</v>
      </c>
      <c r="F1349" s="35">
        <v>10</v>
      </c>
      <c r="G1349" s="36">
        <v>37.99</v>
      </c>
    </row>
    <row r="1350" spans="3:7" x14ac:dyDescent="0.3">
      <c r="C1350" s="39"/>
      <c r="D1350" s="35" t="s">
        <v>662</v>
      </c>
      <c r="E1350" s="35">
        <v>0.05</v>
      </c>
      <c r="F1350" s="35">
        <v>14</v>
      </c>
      <c r="G1350" s="36">
        <v>35.25</v>
      </c>
    </row>
    <row r="1351" spans="3:7" x14ac:dyDescent="0.3">
      <c r="C1351" s="39"/>
      <c r="D1351" s="35" t="s">
        <v>663</v>
      </c>
      <c r="E1351" s="35">
        <v>7.0000000000000007E-2</v>
      </c>
      <c r="F1351" s="35">
        <v>14</v>
      </c>
      <c r="G1351" s="36">
        <v>26.9</v>
      </c>
    </row>
    <row r="1352" spans="3:7" x14ac:dyDescent="0.3">
      <c r="C1352" s="39"/>
      <c r="D1352" s="37" t="s">
        <v>623</v>
      </c>
      <c r="E1352" s="37">
        <v>0.28000000000000003</v>
      </c>
      <c r="F1352" s="37">
        <v>81</v>
      </c>
      <c r="G1352" s="38">
        <v>39.020000000000003</v>
      </c>
    </row>
    <row r="1353" spans="3:7" x14ac:dyDescent="0.3">
      <c r="C1353" s="39"/>
      <c r="D1353" s="35" t="s">
        <v>624</v>
      </c>
      <c r="E1353" s="35">
        <v>0.09</v>
      </c>
      <c r="F1353" s="35">
        <v>18.600000000000001</v>
      </c>
      <c r="G1353" s="36">
        <v>26.3</v>
      </c>
    </row>
    <row r="1354" spans="3:7" x14ac:dyDescent="0.3">
      <c r="C1354" s="39"/>
      <c r="D1354" s="35" t="s">
        <v>625</v>
      </c>
      <c r="E1354" s="35">
        <v>0.01</v>
      </c>
      <c r="F1354" s="35">
        <v>2</v>
      </c>
      <c r="G1354" s="36">
        <v>21.55</v>
      </c>
    </row>
    <row r="1355" spans="3:7" x14ac:dyDescent="0.3">
      <c r="C1355" s="39"/>
      <c r="D1355" s="35" t="s">
        <v>664</v>
      </c>
      <c r="E1355" s="35">
        <v>0.14000000000000001</v>
      </c>
      <c r="F1355" s="35">
        <v>33</v>
      </c>
      <c r="G1355" s="36">
        <v>32.43</v>
      </c>
    </row>
    <row r="1356" spans="3:7" x14ac:dyDescent="0.3">
      <c r="C1356" s="39"/>
      <c r="D1356" s="40" t="s">
        <v>665</v>
      </c>
      <c r="E1356" s="40">
        <v>0.01</v>
      </c>
      <c r="F1356" s="40">
        <v>0.95499999999999996</v>
      </c>
      <c r="G1356" s="41">
        <v>15.26</v>
      </c>
    </row>
    <row r="1357" spans="3:7" x14ac:dyDescent="0.3">
      <c r="C1357" s="39"/>
      <c r="D1357" s="35" t="s">
        <v>630</v>
      </c>
      <c r="E1357" s="35">
        <v>7.0000000000000007E-2</v>
      </c>
      <c r="F1357" s="35">
        <v>14</v>
      </c>
      <c r="G1357" s="36">
        <v>25.25</v>
      </c>
    </row>
    <row r="1358" spans="3:7" x14ac:dyDescent="0.3">
      <c r="C1358" s="39"/>
      <c r="D1358" s="35" t="s">
        <v>666</v>
      </c>
      <c r="E1358" s="35">
        <v>0.02</v>
      </c>
      <c r="F1358" s="35">
        <v>8</v>
      </c>
      <c r="G1358" s="36">
        <v>47.99</v>
      </c>
    </row>
    <row r="1359" spans="3:7" x14ac:dyDescent="0.3">
      <c r="C1359" s="39"/>
      <c r="D1359" s="35" t="s">
        <v>631</v>
      </c>
      <c r="E1359" s="35">
        <v>0.15</v>
      </c>
      <c r="F1359" s="35">
        <v>25</v>
      </c>
      <c r="G1359" s="36">
        <v>21.79</v>
      </c>
    </row>
    <row r="1360" spans="3:7" x14ac:dyDescent="0.3">
      <c r="C1360" s="39"/>
      <c r="D1360" s="35" t="s">
        <v>632</v>
      </c>
      <c r="E1360" s="35">
        <v>0.04</v>
      </c>
      <c r="F1360" s="35">
        <v>9</v>
      </c>
      <c r="G1360" s="36">
        <v>26.95</v>
      </c>
    </row>
    <row r="1361" spans="3:7" x14ac:dyDescent="0.3">
      <c r="C1361" s="39"/>
      <c r="D1361" s="35" t="s">
        <v>633</v>
      </c>
      <c r="E1361" s="35">
        <v>0.02</v>
      </c>
      <c r="F1361" s="35">
        <v>4</v>
      </c>
      <c r="G1361" s="36">
        <v>30.74</v>
      </c>
    </row>
    <row r="1362" spans="3:7" x14ac:dyDescent="0.3">
      <c r="C1362" s="39"/>
      <c r="D1362" s="35" t="s">
        <v>648</v>
      </c>
      <c r="E1362" s="35">
        <v>0.04</v>
      </c>
      <c r="F1362" s="35">
        <v>10</v>
      </c>
      <c r="G1362" s="36">
        <v>29.9</v>
      </c>
    </row>
    <row r="1363" spans="3:7" x14ac:dyDescent="0.3">
      <c r="C1363" s="39"/>
      <c r="D1363" s="35" t="s">
        <v>667</v>
      </c>
      <c r="E1363" s="35">
        <v>0.05</v>
      </c>
      <c r="F1363" s="35">
        <v>5</v>
      </c>
      <c r="G1363" s="36">
        <v>14.79</v>
      </c>
    </row>
    <row r="1364" spans="3:7" x14ac:dyDescent="0.3">
      <c r="C1364" s="39"/>
      <c r="D1364" s="35" t="s">
        <v>608</v>
      </c>
      <c r="E1364" s="35">
        <v>0.03</v>
      </c>
      <c r="F1364" s="35">
        <v>1.4990000000000001</v>
      </c>
      <c r="G1364" s="36">
        <v>6.05</v>
      </c>
    </row>
    <row r="1365" spans="3:7" x14ac:dyDescent="0.3">
      <c r="C1365" s="39"/>
      <c r="D1365" s="35" t="s">
        <v>668</v>
      </c>
      <c r="E1365" s="35">
        <v>0.13</v>
      </c>
      <c r="F1365" s="35">
        <v>5</v>
      </c>
      <c r="G1365" s="36">
        <v>5.17</v>
      </c>
    </row>
    <row r="1366" spans="3:7" x14ac:dyDescent="0.3">
      <c r="C1366" s="39"/>
      <c r="D1366" s="35" t="s">
        <v>669</v>
      </c>
      <c r="E1366" s="35">
        <v>0.1</v>
      </c>
      <c r="F1366" s="35">
        <v>8</v>
      </c>
      <c r="G1366" s="36">
        <v>10.98</v>
      </c>
    </row>
    <row r="1367" spans="3:7" x14ac:dyDescent="0.3">
      <c r="C1367" s="39"/>
      <c r="D1367" s="35" t="s">
        <v>650</v>
      </c>
      <c r="E1367" s="35">
        <v>0.06</v>
      </c>
      <c r="F1367" s="35">
        <v>10</v>
      </c>
      <c r="G1367" s="36">
        <v>23.04</v>
      </c>
    </row>
    <row r="1368" spans="3:7" x14ac:dyDescent="0.3">
      <c r="C1368" s="42"/>
      <c r="D1368" s="43" t="s">
        <v>651</v>
      </c>
      <c r="E1368" s="43">
        <v>0.06</v>
      </c>
      <c r="F1368" s="43">
        <v>10</v>
      </c>
      <c r="G1368" s="44">
        <v>23.04</v>
      </c>
    </row>
    <row r="1372" spans="3:7" x14ac:dyDescent="0.3">
      <c r="C1372" s="31" t="s">
        <v>670</v>
      </c>
      <c r="D1372" s="32" t="s">
        <v>24</v>
      </c>
      <c r="E1372" s="32" t="s">
        <v>10</v>
      </c>
      <c r="F1372" s="32" t="s">
        <v>11</v>
      </c>
      <c r="G1372" s="33" t="s">
        <v>25</v>
      </c>
    </row>
    <row r="1373" spans="3:7" x14ac:dyDescent="0.3">
      <c r="C1373" s="34" t="s">
        <v>671</v>
      </c>
      <c r="D1373" s="37" t="s">
        <v>672</v>
      </c>
      <c r="E1373" s="37">
        <v>1.45</v>
      </c>
      <c r="F1373" s="37">
        <v>200</v>
      </c>
      <c r="G1373" s="38">
        <v>18.38</v>
      </c>
    </row>
    <row r="1374" spans="3:7" x14ac:dyDescent="0.3">
      <c r="C1374" s="34" t="s">
        <v>673</v>
      </c>
      <c r="D1374" s="35" t="s">
        <v>617</v>
      </c>
      <c r="E1374" s="35">
        <v>0.25</v>
      </c>
      <c r="F1374" s="35">
        <v>62</v>
      </c>
      <c r="G1374" s="36">
        <v>33.44</v>
      </c>
    </row>
    <row r="1375" spans="3:7" x14ac:dyDescent="0.3">
      <c r="C1375" s="34" t="s">
        <v>506</v>
      </c>
      <c r="D1375" s="35" t="s">
        <v>642</v>
      </c>
      <c r="E1375" s="35">
        <v>7.0000000000000007E-2</v>
      </c>
      <c r="F1375" s="35">
        <v>15</v>
      </c>
      <c r="G1375" s="36">
        <v>27.74</v>
      </c>
    </row>
    <row r="1376" spans="3:7" x14ac:dyDescent="0.3">
      <c r="C1376" s="39"/>
      <c r="D1376" s="35" t="s">
        <v>674</v>
      </c>
      <c r="E1376" s="35">
        <v>0.03</v>
      </c>
      <c r="F1376" s="35">
        <v>7</v>
      </c>
      <c r="G1376" s="36">
        <v>35.11</v>
      </c>
    </row>
    <row r="1377" spans="3:7" x14ac:dyDescent="0.3">
      <c r="C1377" s="39"/>
      <c r="D1377" s="35" t="s">
        <v>618</v>
      </c>
      <c r="E1377" s="35">
        <v>0.03</v>
      </c>
      <c r="F1377" s="35">
        <v>10</v>
      </c>
      <c r="G1377" s="36">
        <v>39.119999999999997</v>
      </c>
    </row>
    <row r="1378" spans="3:7" x14ac:dyDescent="0.3">
      <c r="C1378" s="39"/>
      <c r="D1378" s="35" t="s">
        <v>620</v>
      </c>
      <c r="E1378" s="35">
        <v>0.14000000000000001</v>
      </c>
      <c r="F1378" s="35">
        <v>28</v>
      </c>
      <c r="G1378" s="36">
        <v>26.63</v>
      </c>
    </row>
    <row r="1379" spans="3:7" x14ac:dyDescent="0.3">
      <c r="C1379" s="39"/>
      <c r="D1379" s="35" t="s">
        <v>643</v>
      </c>
      <c r="E1379" s="35">
        <v>7.0000000000000007E-2</v>
      </c>
      <c r="F1379" s="35">
        <v>14</v>
      </c>
      <c r="G1379" s="36">
        <v>28.68</v>
      </c>
    </row>
    <row r="1380" spans="3:7" x14ac:dyDescent="0.3">
      <c r="C1380" s="39"/>
      <c r="D1380" s="35" t="s">
        <v>622</v>
      </c>
      <c r="E1380" s="35">
        <v>0.06</v>
      </c>
      <c r="F1380" s="35">
        <v>12.5</v>
      </c>
      <c r="G1380" s="36">
        <v>29.1</v>
      </c>
    </row>
    <row r="1381" spans="3:7" x14ac:dyDescent="0.3">
      <c r="C1381" s="39"/>
      <c r="D1381" s="35" t="s">
        <v>623</v>
      </c>
      <c r="E1381" s="35">
        <v>0.18</v>
      </c>
      <c r="F1381" s="35">
        <v>54</v>
      </c>
      <c r="G1381" s="36">
        <v>39.020000000000003</v>
      </c>
    </row>
    <row r="1382" spans="3:7" x14ac:dyDescent="0.3">
      <c r="C1382" s="39"/>
      <c r="D1382" s="35" t="s">
        <v>646</v>
      </c>
      <c r="E1382" s="35">
        <v>0.04</v>
      </c>
      <c r="F1382" s="35">
        <v>8</v>
      </c>
      <c r="G1382" s="36">
        <v>28.42</v>
      </c>
    </row>
    <row r="1383" spans="3:7" x14ac:dyDescent="0.3">
      <c r="C1383" s="39"/>
      <c r="D1383" s="35" t="s">
        <v>624</v>
      </c>
      <c r="E1383" s="35">
        <v>0.06</v>
      </c>
      <c r="F1383" s="35">
        <v>12.4</v>
      </c>
      <c r="G1383" s="36">
        <v>26.3</v>
      </c>
    </row>
    <row r="1384" spans="3:7" x14ac:dyDescent="0.3">
      <c r="C1384" s="39"/>
      <c r="D1384" s="35" t="s">
        <v>647</v>
      </c>
      <c r="E1384" s="35">
        <v>0.01</v>
      </c>
      <c r="F1384" s="35">
        <v>1.7</v>
      </c>
      <c r="G1384" s="36">
        <v>22.41</v>
      </c>
    </row>
    <row r="1385" spans="3:7" x14ac:dyDescent="0.3">
      <c r="C1385" s="39"/>
      <c r="D1385" s="35" t="s">
        <v>625</v>
      </c>
      <c r="E1385" s="35">
        <v>0.01</v>
      </c>
      <c r="F1385" s="35">
        <v>2</v>
      </c>
      <c r="G1385" s="36">
        <v>21.55</v>
      </c>
    </row>
    <row r="1386" spans="3:7" x14ac:dyDescent="0.3">
      <c r="C1386" s="39"/>
      <c r="D1386" s="35" t="s">
        <v>626</v>
      </c>
      <c r="E1386" s="35">
        <v>0.1</v>
      </c>
      <c r="F1386" s="35">
        <v>20</v>
      </c>
      <c r="G1386" s="36">
        <v>28</v>
      </c>
    </row>
    <row r="1387" spans="3:7" x14ac:dyDescent="0.3">
      <c r="C1387" s="39"/>
      <c r="D1387" s="35" t="s">
        <v>664</v>
      </c>
      <c r="E1387" s="35">
        <v>0.1</v>
      </c>
      <c r="F1387" s="35">
        <v>24</v>
      </c>
      <c r="G1387" s="36">
        <v>32.43</v>
      </c>
    </row>
    <row r="1388" spans="3:7" x14ac:dyDescent="0.3">
      <c r="C1388" s="39"/>
      <c r="D1388" s="35" t="s">
        <v>627</v>
      </c>
      <c r="E1388" s="35">
        <v>0.05</v>
      </c>
      <c r="F1388" s="35">
        <v>10</v>
      </c>
      <c r="G1388" s="36">
        <v>26.04</v>
      </c>
    </row>
    <row r="1389" spans="3:7" x14ac:dyDescent="0.3">
      <c r="C1389" s="39"/>
      <c r="D1389" s="35" t="s">
        <v>628</v>
      </c>
      <c r="E1389" s="35">
        <v>7.0000000000000007E-2</v>
      </c>
      <c r="F1389" s="35">
        <v>10</v>
      </c>
      <c r="G1389" s="36">
        <v>20.48</v>
      </c>
    </row>
    <row r="1390" spans="3:7" x14ac:dyDescent="0.3">
      <c r="C1390" s="39"/>
      <c r="D1390" s="35" t="s">
        <v>606</v>
      </c>
      <c r="E1390" s="35">
        <v>0.18</v>
      </c>
      <c r="F1390" s="35">
        <v>25</v>
      </c>
      <c r="G1390" s="36">
        <v>18.559999999999999</v>
      </c>
    </row>
    <row r="1391" spans="3:7" x14ac:dyDescent="0.3">
      <c r="C1391" s="39"/>
      <c r="D1391" s="40" t="s">
        <v>665</v>
      </c>
      <c r="E1391" s="40">
        <v>0.01</v>
      </c>
      <c r="F1391" s="40">
        <v>0.95499999999999996</v>
      </c>
      <c r="G1391" s="41">
        <v>15.26</v>
      </c>
    </row>
    <row r="1392" spans="3:7" x14ac:dyDescent="0.3">
      <c r="C1392" s="39"/>
      <c r="D1392" s="35" t="s">
        <v>630</v>
      </c>
      <c r="E1392" s="35">
        <v>7.0000000000000007E-2</v>
      </c>
      <c r="F1392" s="35">
        <v>14</v>
      </c>
      <c r="G1392" s="36">
        <v>25.25</v>
      </c>
    </row>
    <row r="1393" spans="3:7" x14ac:dyDescent="0.3">
      <c r="C1393" s="39"/>
      <c r="D1393" s="35" t="s">
        <v>607</v>
      </c>
      <c r="E1393" s="35">
        <v>0.11</v>
      </c>
      <c r="F1393" s="35">
        <v>20</v>
      </c>
      <c r="G1393" s="36">
        <v>23.51</v>
      </c>
    </row>
    <row r="1394" spans="3:7" x14ac:dyDescent="0.3">
      <c r="C1394" s="39"/>
      <c r="D1394" s="35" t="s">
        <v>632</v>
      </c>
      <c r="E1394" s="35">
        <v>0.08</v>
      </c>
      <c r="F1394" s="35">
        <v>17</v>
      </c>
      <c r="G1394" s="36">
        <v>26.95</v>
      </c>
    </row>
    <row r="1395" spans="3:7" x14ac:dyDescent="0.3">
      <c r="C1395" s="39"/>
      <c r="D1395" s="35" t="s">
        <v>633</v>
      </c>
      <c r="E1395" s="35">
        <v>0.06</v>
      </c>
      <c r="F1395" s="35">
        <v>14</v>
      </c>
      <c r="G1395" s="36">
        <v>30.74</v>
      </c>
    </row>
    <row r="1396" spans="3:7" x14ac:dyDescent="0.3">
      <c r="C1396" s="39"/>
      <c r="D1396" s="35" t="s">
        <v>649</v>
      </c>
      <c r="E1396" s="35">
        <v>0.06</v>
      </c>
      <c r="F1396" s="35">
        <v>4</v>
      </c>
      <c r="G1396" s="36">
        <v>9.17</v>
      </c>
    </row>
    <row r="1397" spans="3:7" x14ac:dyDescent="0.3">
      <c r="C1397" s="39"/>
      <c r="D1397" s="35" t="s">
        <v>669</v>
      </c>
      <c r="E1397" s="35">
        <v>0.1</v>
      </c>
      <c r="F1397" s="35">
        <v>8</v>
      </c>
      <c r="G1397" s="36">
        <v>10.98</v>
      </c>
    </row>
    <row r="1398" spans="3:7" x14ac:dyDescent="0.3">
      <c r="C1398" s="39"/>
      <c r="D1398" s="35" t="s">
        <v>675</v>
      </c>
      <c r="E1398" s="35">
        <v>0.14000000000000001</v>
      </c>
      <c r="F1398" s="35">
        <v>9</v>
      </c>
      <c r="G1398" s="36">
        <v>8.7200000000000006</v>
      </c>
    </row>
    <row r="1399" spans="3:7" x14ac:dyDescent="0.3">
      <c r="C1399" s="42"/>
      <c r="D1399" s="43" t="s">
        <v>634</v>
      </c>
      <c r="E1399" s="43">
        <v>0.03</v>
      </c>
      <c r="F1399" s="43">
        <v>6</v>
      </c>
      <c r="G1399" s="44">
        <v>31.51</v>
      </c>
    </row>
    <row r="1403" spans="3:7" x14ac:dyDescent="0.3">
      <c r="C1403" s="31" t="s">
        <v>676</v>
      </c>
      <c r="D1403" s="32" t="s">
        <v>24</v>
      </c>
      <c r="E1403" s="32" t="s">
        <v>10</v>
      </c>
      <c r="F1403" s="32" t="s">
        <v>11</v>
      </c>
      <c r="G1403" s="33" t="s">
        <v>25</v>
      </c>
    </row>
    <row r="1404" spans="3:7" x14ac:dyDescent="0.3">
      <c r="C1404" s="34" t="s">
        <v>677</v>
      </c>
      <c r="D1404" s="35" t="s">
        <v>639</v>
      </c>
      <c r="E1404" s="35">
        <v>7.0000000000000007E-2</v>
      </c>
      <c r="F1404" s="35">
        <v>24</v>
      </c>
      <c r="G1404" s="36">
        <v>43.63</v>
      </c>
    </row>
    <row r="1405" spans="3:7" x14ac:dyDescent="0.3">
      <c r="C1405" s="34" t="s">
        <v>678</v>
      </c>
      <c r="D1405" s="35" t="s">
        <v>679</v>
      </c>
      <c r="E1405" s="35">
        <v>0.05</v>
      </c>
      <c r="F1405" s="35">
        <v>12</v>
      </c>
      <c r="G1405" s="36">
        <v>29.59</v>
      </c>
    </row>
    <row r="1406" spans="3:7" x14ac:dyDescent="0.3">
      <c r="C1406" s="34" t="s">
        <v>506</v>
      </c>
      <c r="D1406" s="40" t="s">
        <v>680</v>
      </c>
      <c r="E1406" s="40">
        <v>0.02</v>
      </c>
      <c r="F1406" s="40">
        <v>7</v>
      </c>
      <c r="G1406" s="41">
        <v>42.07</v>
      </c>
    </row>
    <row r="1407" spans="3:7" x14ac:dyDescent="0.3">
      <c r="C1407" s="39"/>
      <c r="D1407" s="35" t="s">
        <v>617</v>
      </c>
      <c r="E1407" s="35">
        <v>0.05</v>
      </c>
      <c r="F1407" s="35">
        <v>12</v>
      </c>
      <c r="G1407" s="36">
        <v>33.44</v>
      </c>
    </row>
    <row r="1408" spans="3:7" x14ac:dyDescent="0.3">
      <c r="C1408" s="39"/>
      <c r="D1408" s="35" t="s">
        <v>681</v>
      </c>
      <c r="E1408" s="35">
        <v>0.04</v>
      </c>
      <c r="F1408" s="35">
        <v>8.5</v>
      </c>
      <c r="G1408" s="36">
        <v>30.23</v>
      </c>
    </row>
    <row r="1409" spans="3:7" x14ac:dyDescent="0.3">
      <c r="C1409" s="39"/>
      <c r="D1409" s="35" t="s">
        <v>618</v>
      </c>
      <c r="E1409" s="35">
        <v>0.03</v>
      </c>
      <c r="F1409" s="35">
        <v>10</v>
      </c>
      <c r="G1409" s="36">
        <v>39.119999999999997</v>
      </c>
    </row>
    <row r="1410" spans="3:7" x14ac:dyDescent="0.3">
      <c r="C1410" s="39"/>
      <c r="D1410" s="35" t="s">
        <v>619</v>
      </c>
      <c r="E1410" s="35">
        <v>0.05</v>
      </c>
      <c r="F1410" s="35">
        <v>14</v>
      </c>
      <c r="G1410" s="36">
        <v>34.56</v>
      </c>
    </row>
    <row r="1411" spans="3:7" x14ac:dyDescent="0.3">
      <c r="C1411" s="39"/>
      <c r="D1411" s="35" t="s">
        <v>660</v>
      </c>
      <c r="E1411" s="35">
        <v>0.08</v>
      </c>
      <c r="F1411" s="35">
        <v>14</v>
      </c>
      <c r="G1411" s="36">
        <v>23.83</v>
      </c>
    </row>
    <row r="1412" spans="3:7" x14ac:dyDescent="0.3">
      <c r="C1412" s="39"/>
      <c r="D1412" s="35" t="s">
        <v>620</v>
      </c>
      <c r="E1412" s="35">
        <v>7.0000000000000007E-2</v>
      </c>
      <c r="F1412" s="35">
        <v>14</v>
      </c>
      <c r="G1412" s="36">
        <v>26.63</v>
      </c>
    </row>
    <row r="1413" spans="3:7" x14ac:dyDescent="0.3">
      <c r="C1413" s="39"/>
      <c r="D1413" s="35" t="s">
        <v>621</v>
      </c>
      <c r="E1413" s="35">
        <v>0.1</v>
      </c>
      <c r="F1413" s="35">
        <v>14</v>
      </c>
      <c r="G1413" s="36">
        <v>19.440000000000001</v>
      </c>
    </row>
    <row r="1414" spans="3:7" x14ac:dyDescent="0.3">
      <c r="C1414" s="39"/>
      <c r="D1414" s="35" t="s">
        <v>661</v>
      </c>
      <c r="E1414" s="35">
        <v>0.04</v>
      </c>
      <c r="F1414" s="35">
        <v>10</v>
      </c>
      <c r="G1414" s="36">
        <v>37.99</v>
      </c>
    </row>
    <row r="1415" spans="3:7" x14ac:dyDescent="0.3">
      <c r="C1415" s="39"/>
      <c r="D1415" s="35" t="s">
        <v>662</v>
      </c>
      <c r="E1415" s="35">
        <v>0.05</v>
      </c>
      <c r="F1415" s="35">
        <v>14</v>
      </c>
      <c r="G1415" s="36">
        <v>35.25</v>
      </c>
    </row>
    <row r="1416" spans="3:7" x14ac:dyDescent="0.3">
      <c r="C1416" s="39"/>
      <c r="D1416" s="35" t="s">
        <v>644</v>
      </c>
      <c r="E1416" s="35">
        <v>7.0000000000000007E-2</v>
      </c>
      <c r="F1416" s="35">
        <v>14</v>
      </c>
      <c r="G1416" s="36">
        <v>24.89</v>
      </c>
    </row>
    <row r="1417" spans="3:7" x14ac:dyDescent="0.3">
      <c r="C1417" s="39"/>
      <c r="D1417" s="35" t="s">
        <v>622</v>
      </c>
      <c r="E1417" s="35">
        <v>0.06</v>
      </c>
      <c r="F1417" s="35">
        <v>12.5</v>
      </c>
      <c r="G1417" s="36">
        <v>29.1</v>
      </c>
    </row>
    <row r="1418" spans="3:7" x14ac:dyDescent="0.3">
      <c r="C1418" s="39"/>
      <c r="D1418" s="37" t="s">
        <v>623</v>
      </c>
      <c r="E1418" s="37">
        <v>0.18</v>
      </c>
      <c r="F1418" s="37">
        <v>54</v>
      </c>
      <c r="G1418" s="38">
        <v>39.020000000000003</v>
      </c>
    </row>
    <row r="1419" spans="3:7" x14ac:dyDescent="0.3">
      <c r="C1419" s="39"/>
      <c r="D1419" s="35" t="s">
        <v>624</v>
      </c>
      <c r="E1419" s="35">
        <v>0.11</v>
      </c>
      <c r="F1419" s="35">
        <v>21.7</v>
      </c>
      <c r="G1419" s="36">
        <v>26.3</v>
      </c>
    </row>
    <row r="1420" spans="3:7" x14ac:dyDescent="0.3">
      <c r="C1420" s="39"/>
      <c r="D1420" s="35" t="s">
        <v>664</v>
      </c>
      <c r="E1420" s="35">
        <v>0.06</v>
      </c>
      <c r="F1420" s="35">
        <v>15</v>
      </c>
      <c r="G1420" s="36">
        <v>32.43</v>
      </c>
    </row>
    <row r="1421" spans="3:7" x14ac:dyDescent="0.3">
      <c r="C1421" s="39"/>
      <c r="D1421" s="35" t="s">
        <v>631</v>
      </c>
      <c r="E1421" s="35">
        <v>0.15</v>
      </c>
      <c r="F1421" s="35">
        <v>25</v>
      </c>
      <c r="G1421" s="36">
        <v>21.79</v>
      </c>
    </row>
    <row r="1422" spans="3:7" x14ac:dyDescent="0.3">
      <c r="C1422" s="42"/>
      <c r="D1422" s="43" t="s">
        <v>610</v>
      </c>
      <c r="E1422" s="43">
        <v>0.05</v>
      </c>
      <c r="F1422" s="43">
        <v>12</v>
      </c>
      <c r="G1422" s="44">
        <v>29.83</v>
      </c>
    </row>
    <row r="1426" spans="3:7" x14ac:dyDescent="0.3">
      <c r="C1426" s="31" t="s">
        <v>682</v>
      </c>
      <c r="D1426" s="32" t="s">
        <v>24</v>
      </c>
      <c r="E1426" s="32" t="s">
        <v>10</v>
      </c>
      <c r="F1426" s="32" t="s">
        <v>11</v>
      </c>
      <c r="G1426" s="33" t="s">
        <v>25</v>
      </c>
    </row>
    <row r="1427" spans="3:7" x14ac:dyDescent="0.3">
      <c r="C1427" s="34" t="s">
        <v>683</v>
      </c>
      <c r="D1427" s="35" t="s">
        <v>581</v>
      </c>
      <c r="E1427" s="35">
        <v>0.09</v>
      </c>
      <c r="F1427" s="35">
        <v>10</v>
      </c>
      <c r="G1427" s="36">
        <v>14.64</v>
      </c>
    </row>
    <row r="1428" spans="3:7" x14ac:dyDescent="0.3">
      <c r="C1428" s="34" t="s">
        <v>684</v>
      </c>
      <c r="D1428" s="35" t="s">
        <v>637</v>
      </c>
      <c r="E1428" s="35">
        <v>0.38</v>
      </c>
      <c r="F1428" s="35">
        <v>50</v>
      </c>
      <c r="G1428" s="36">
        <v>17.52</v>
      </c>
    </row>
    <row r="1429" spans="3:7" x14ac:dyDescent="0.3">
      <c r="C1429" s="34" t="s">
        <v>506</v>
      </c>
      <c r="D1429" s="37" t="s">
        <v>561</v>
      </c>
      <c r="E1429" s="37">
        <v>0.17</v>
      </c>
      <c r="F1429" s="37">
        <v>57.325000000000003</v>
      </c>
      <c r="G1429" s="38">
        <v>44.11</v>
      </c>
    </row>
    <row r="1430" spans="3:7" x14ac:dyDescent="0.3">
      <c r="C1430" s="39"/>
      <c r="D1430" s="35" t="s">
        <v>640</v>
      </c>
      <c r="E1430" s="35">
        <v>0.1</v>
      </c>
      <c r="F1430" s="35">
        <v>24</v>
      </c>
      <c r="G1430" s="36">
        <v>32.9</v>
      </c>
    </row>
    <row r="1431" spans="3:7" x14ac:dyDescent="0.3">
      <c r="C1431" s="39"/>
      <c r="D1431" s="35" t="s">
        <v>617</v>
      </c>
      <c r="E1431" s="35">
        <v>0.15</v>
      </c>
      <c r="F1431" s="35">
        <v>37</v>
      </c>
      <c r="G1431" s="36">
        <v>33.44</v>
      </c>
    </row>
    <row r="1432" spans="3:7" x14ac:dyDescent="0.3">
      <c r="C1432" s="39"/>
      <c r="D1432" s="35" t="s">
        <v>642</v>
      </c>
      <c r="E1432" s="35">
        <v>0.2</v>
      </c>
      <c r="F1432" s="35">
        <v>42</v>
      </c>
      <c r="G1432" s="36">
        <v>27.74</v>
      </c>
    </row>
    <row r="1433" spans="3:7" x14ac:dyDescent="0.3">
      <c r="C1433" s="39"/>
      <c r="D1433" s="35" t="s">
        <v>659</v>
      </c>
      <c r="E1433" s="35">
        <v>0.05</v>
      </c>
      <c r="F1433" s="35">
        <v>7.5</v>
      </c>
      <c r="G1433" s="36">
        <v>19.28</v>
      </c>
    </row>
    <row r="1434" spans="3:7" x14ac:dyDescent="0.3">
      <c r="C1434" s="39"/>
      <c r="D1434" s="35" t="s">
        <v>620</v>
      </c>
      <c r="E1434" s="35">
        <v>7.0000000000000007E-2</v>
      </c>
      <c r="F1434" s="35">
        <v>14</v>
      </c>
      <c r="G1434" s="36">
        <v>26.63</v>
      </c>
    </row>
    <row r="1435" spans="3:7" x14ac:dyDescent="0.3">
      <c r="C1435" s="39"/>
      <c r="D1435" s="35" t="s">
        <v>643</v>
      </c>
      <c r="E1435" s="35">
        <v>7.0000000000000007E-2</v>
      </c>
      <c r="F1435" s="35">
        <v>14</v>
      </c>
      <c r="G1435" s="36">
        <v>28.68</v>
      </c>
    </row>
    <row r="1436" spans="3:7" x14ac:dyDescent="0.3">
      <c r="C1436" s="39"/>
      <c r="D1436" s="35" t="s">
        <v>663</v>
      </c>
      <c r="E1436" s="35">
        <v>7.0000000000000007E-2</v>
      </c>
      <c r="F1436" s="35">
        <v>14</v>
      </c>
      <c r="G1436" s="36">
        <v>26.9</v>
      </c>
    </row>
    <row r="1437" spans="3:7" x14ac:dyDescent="0.3">
      <c r="C1437" s="39"/>
      <c r="D1437" s="35" t="s">
        <v>622</v>
      </c>
      <c r="E1437" s="35">
        <v>0.06</v>
      </c>
      <c r="F1437" s="35">
        <v>12.5</v>
      </c>
      <c r="G1437" s="36">
        <v>29.1</v>
      </c>
    </row>
    <row r="1438" spans="3:7" x14ac:dyDescent="0.3">
      <c r="C1438" s="39"/>
      <c r="D1438" s="35" t="s">
        <v>623</v>
      </c>
      <c r="E1438" s="35">
        <v>0.18</v>
      </c>
      <c r="F1438" s="35">
        <v>54</v>
      </c>
      <c r="G1438" s="36">
        <v>39.020000000000003</v>
      </c>
    </row>
    <row r="1439" spans="3:7" x14ac:dyDescent="0.3">
      <c r="C1439" s="39"/>
      <c r="D1439" s="35" t="s">
        <v>624</v>
      </c>
      <c r="E1439" s="35">
        <v>0.09</v>
      </c>
      <c r="F1439" s="35">
        <v>18.600000000000001</v>
      </c>
      <c r="G1439" s="36">
        <v>26.3</v>
      </c>
    </row>
    <row r="1440" spans="3:7" x14ac:dyDescent="0.3">
      <c r="C1440" s="39"/>
      <c r="D1440" s="35" t="s">
        <v>647</v>
      </c>
      <c r="E1440" s="35">
        <v>0.01</v>
      </c>
      <c r="F1440" s="35">
        <v>1.7</v>
      </c>
      <c r="G1440" s="36">
        <v>22.41</v>
      </c>
    </row>
    <row r="1441" spans="3:7" x14ac:dyDescent="0.3">
      <c r="C1441" s="39"/>
      <c r="D1441" s="35" t="s">
        <v>625</v>
      </c>
      <c r="E1441" s="35">
        <v>0.01</v>
      </c>
      <c r="F1441" s="35">
        <v>2.0489999999999999</v>
      </c>
      <c r="G1441" s="36">
        <v>21.55</v>
      </c>
    </row>
    <row r="1442" spans="3:7" x14ac:dyDescent="0.3">
      <c r="C1442" s="39"/>
      <c r="D1442" s="35" t="s">
        <v>664</v>
      </c>
      <c r="E1442" s="35">
        <v>0.16</v>
      </c>
      <c r="F1442" s="35">
        <v>39</v>
      </c>
      <c r="G1442" s="36">
        <v>32.43</v>
      </c>
    </row>
    <row r="1443" spans="3:7" x14ac:dyDescent="0.3">
      <c r="C1443" s="39"/>
      <c r="D1443" s="35" t="s">
        <v>627</v>
      </c>
      <c r="E1443" s="35">
        <v>0.05</v>
      </c>
      <c r="F1443" s="35">
        <v>10</v>
      </c>
      <c r="G1443" s="36">
        <v>26.04</v>
      </c>
    </row>
    <row r="1444" spans="3:7" x14ac:dyDescent="0.3">
      <c r="C1444" s="39"/>
      <c r="D1444" s="35" t="s">
        <v>628</v>
      </c>
      <c r="E1444" s="35">
        <v>7.0000000000000007E-2</v>
      </c>
      <c r="F1444" s="35">
        <v>10</v>
      </c>
      <c r="G1444" s="36">
        <v>20.48</v>
      </c>
    </row>
    <row r="1445" spans="3:7" x14ac:dyDescent="0.3">
      <c r="C1445" s="39"/>
      <c r="D1445" s="40" t="s">
        <v>665</v>
      </c>
      <c r="E1445" s="40">
        <v>0.01</v>
      </c>
      <c r="F1445" s="40">
        <v>0.95499999999999996</v>
      </c>
      <c r="G1445" s="41">
        <v>15.26</v>
      </c>
    </row>
    <row r="1446" spans="3:7" x14ac:dyDescent="0.3">
      <c r="C1446" s="39"/>
      <c r="D1446" s="35" t="s">
        <v>630</v>
      </c>
      <c r="E1446" s="35">
        <v>7.0000000000000007E-2</v>
      </c>
      <c r="F1446" s="35">
        <v>14</v>
      </c>
      <c r="G1446" s="36">
        <v>25.25</v>
      </c>
    </row>
    <row r="1447" spans="3:7" x14ac:dyDescent="0.3">
      <c r="C1447" s="39"/>
      <c r="D1447" s="35" t="s">
        <v>685</v>
      </c>
      <c r="E1447" s="35">
        <v>0.22</v>
      </c>
      <c r="F1447" s="35">
        <v>50</v>
      </c>
      <c r="G1447" s="36">
        <v>29.73</v>
      </c>
    </row>
    <row r="1448" spans="3:7" x14ac:dyDescent="0.3">
      <c r="C1448" s="39"/>
      <c r="D1448" s="35" t="s">
        <v>632</v>
      </c>
      <c r="E1448" s="35">
        <v>0.04</v>
      </c>
      <c r="F1448" s="35">
        <v>9</v>
      </c>
      <c r="G1448" s="36">
        <v>26.95</v>
      </c>
    </row>
    <row r="1449" spans="3:7" x14ac:dyDescent="0.3">
      <c r="C1449" s="39"/>
      <c r="D1449" s="35" t="s">
        <v>633</v>
      </c>
      <c r="E1449" s="35">
        <v>0.06</v>
      </c>
      <c r="F1449" s="35">
        <v>13</v>
      </c>
      <c r="G1449" s="36">
        <v>30.74</v>
      </c>
    </row>
    <row r="1450" spans="3:7" x14ac:dyDescent="0.3">
      <c r="C1450" s="39"/>
      <c r="D1450" s="35" t="s">
        <v>667</v>
      </c>
      <c r="E1450" s="35">
        <v>0.05</v>
      </c>
      <c r="F1450" s="35">
        <v>5</v>
      </c>
      <c r="G1450" s="36">
        <v>14.79</v>
      </c>
    </row>
    <row r="1451" spans="3:7" x14ac:dyDescent="0.3">
      <c r="C1451" s="42"/>
      <c r="D1451" s="43" t="s">
        <v>634</v>
      </c>
      <c r="E1451" s="43">
        <v>0.02</v>
      </c>
      <c r="F1451" s="43">
        <v>4</v>
      </c>
      <c r="G1451" s="44">
        <v>31.51</v>
      </c>
    </row>
    <row r="1455" spans="3:7" x14ac:dyDescent="0.3">
      <c r="C1455" s="31" t="s">
        <v>686</v>
      </c>
      <c r="D1455" s="32" t="s">
        <v>24</v>
      </c>
      <c r="E1455" s="32" t="s">
        <v>10</v>
      </c>
      <c r="F1455" s="32" t="s">
        <v>11</v>
      </c>
      <c r="G1455" s="33" t="s">
        <v>25</v>
      </c>
    </row>
    <row r="1456" spans="3:7" x14ac:dyDescent="0.3">
      <c r="C1456" s="34" t="s">
        <v>687</v>
      </c>
      <c r="D1456" s="37" t="s">
        <v>688</v>
      </c>
      <c r="E1456" s="37">
        <v>0.18</v>
      </c>
      <c r="F1456" s="37">
        <v>51.47</v>
      </c>
      <c r="G1456" s="38">
        <v>38.380000000000003</v>
      </c>
    </row>
    <row r="1457" spans="3:7" x14ac:dyDescent="0.3">
      <c r="C1457" s="34" t="s">
        <v>689</v>
      </c>
      <c r="D1457" s="35" t="s">
        <v>690</v>
      </c>
      <c r="E1457" s="35">
        <v>0.08</v>
      </c>
      <c r="F1457" s="35">
        <v>12</v>
      </c>
      <c r="G1457" s="36">
        <v>19.190000000000001</v>
      </c>
    </row>
    <row r="1458" spans="3:7" x14ac:dyDescent="0.3">
      <c r="C1458" s="34" t="s">
        <v>506</v>
      </c>
      <c r="D1458" s="35" t="s">
        <v>691</v>
      </c>
      <c r="E1458" s="35">
        <v>0.04</v>
      </c>
      <c r="F1458" s="35">
        <v>12</v>
      </c>
      <c r="G1458" s="36">
        <v>36.03</v>
      </c>
    </row>
    <row r="1459" spans="3:7" x14ac:dyDescent="0.3">
      <c r="C1459" s="39"/>
      <c r="D1459" s="35" t="s">
        <v>618</v>
      </c>
      <c r="E1459" s="35">
        <v>0.03</v>
      </c>
      <c r="F1459" s="35">
        <v>10</v>
      </c>
      <c r="G1459" s="36">
        <v>39.119999999999997</v>
      </c>
    </row>
    <row r="1460" spans="3:7" x14ac:dyDescent="0.3">
      <c r="C1460" s="39"/>
      <c r="D1460" s="35" t="s">
        <v>660</v>
      </c>
      <c r="E1460" s="35">
        <v>0.08</v>
      </c>
      <c r="F1460" s="35">
        <v>14</v>
      </c>
      <c r="G1460" s="36">
        <v>23.83</v>
      </c>
    </row>
    <row r="1461" spans="3:7" x14ac:dyDescent="0.3">
      <c r="C1461" s="39"/>
      <c r="D1461" s="35" t="s">
        <v>620</v>
      </c>
      <c r="E1461" s="35">
        <v>7.0000000000000007E-2</v>
      </c>
      <c r="F1461" s="35">
        <v>14</v>
      </c>
      <c r="G1461" s="36">
        <v>26.63</v>
      </c>
    </row>
    <row r="1462" spans="3:7" x14ac:dyDescent="0.3">
      <c r="C1462" s="39"/>
      <c r="D1462" s="35" t="s">
        <v>621</v>
      </c>
      <c r="E1462" s="35">
        <v>0.1</v>
      </c>
      <c r="F1462" s="35">
        <v>14</v>
      </c>
      <c r="G1462" s="36">
        <v>19.440000000000001</v>
      </c>
    </row>
    <row r="1463" spans="3:7" x14ac:dyDescent="0.3">
      <c r="C1463" s="39"/>
      <c r="D1463" s="35" t="s">
        <v>662</v>
      </c>
      <c r="E1463" s="35">
        <v>0.05</v>
      </c>
      <c r="F1463" s="35">
        <v>14</v>
      </c>
      <c r="G1463" s="36">
        <v>35.25</v>
      </c>
    </row>
    <row r="1464" spans="3:7" x14ac:dyDescent="0.3">
      <c r="C1464" s="39"/>
      <c r="D1464" s="35" t="s">
        <v>643</v>
      </c>
      <c r="E1464" s="35">
        <v>7.0000000000000007E-2</v>
      </c>
      <c r="F1464" s="35">
        <v>14</v>
      </c>
      <c r="G1464" s="36">
        <v>28.68</v>
      </c>
    </row>
    <row r="1465" spans="3:7" x14ac:dyDescent="0.3">
      <c r="C1465" s="39"/>
      <c r="D1465" s="35" t="s">
        <v>644</v>
      </c>
      <c r="E1465" s="35">
        <v>7.0000000000000007E-2</v>
      </c>
      <c r="F1465" s="35">
        <v>14</v>
      </c>
      <c r="G1465" s="36">
        <v>24.89</v>
      </c>
    </row>
    <row r="1466" spans="3:7" x14ac:dyDescent="0.3">
      <c r="C1466" s="39"/>
      <c r="D1466" s="35" t="s">
        <v>622</v>
      </c>
      <c r="E1466" s="35">
        <v>0.06</v>
      </c>
      <c r="F1466" s="35">
        <v>12.5</v>
      </c>
      <c r="G1466" s="36">
        <v>29.1</v>
      </c>
    </row>
    <row r="1467" spans="3:7" x14ac:dyDescent="0.3">
      <c r="C1467" s="39"/>
      <c r="D1467" s="40" t="s">
        <v>646</v>
      </c>
      <c r="E1467" s="40">
        <v>0</v>
      </c>
      <c r="F1467" s="40">
        <v>1</v>
      </c>
      <c r="G1467" s="41">
        <v>28.42</v>
      </c>
    </row>
    <row r="1468" spans="3:7" x14ac:dyDescent="0.3">
      <c r="C1468" s="39"/>
      <c r="D1468" s="35" t="s">
        <v>624</v>
      </c>
      <c r="E1468" s="35">
        <v>0.06</v>
      </c>
      <c r="F1468" s="35">
        <v>12.4</v>
      </c>
      <c r="G1468" s="36">
        <v>26.3</v>
      </c>
    </row>
    <row r="1469" spans="3:7" x14ac:dyDescent="0.3">
      <c r="C1469" s="39"/>
      <c r="D1469" s="35" t="s">
        <v>647</v>
      </c>
      <c r="E1469" s="35">
        <v>0.01</v>
      </c>
      <c r="F1469" s="35">
        <v>1.08</v>
      </c>
      <c r="G1469" s="36">
        <v>22.41</v>
      </c>
    </row>
    <row r="1470" spans="3:7" x14ac:dyDescent="0.3">
      <c r="C1470" s="39"/>
      <c r="D1470" s="35" t="s">
        <v>625</v>
      </c>
      <c r="E1470" s="35">
        <v>0.01</v>
      </c>
      <c r="F1470" s="35">
        <v>2.4</v>
      </c>
      <c r="G1470" s="36">
        <v>21.55</v>
      </c>
    </row>
    <row r="1471" spans="3:7" x14ac:dyDescent="0.3">
      <c r="C1471" s="39"/>
      <c r="D1471" s="35" t="s">
        <v>627</v>
      </c>
      <c r="E1471" s="35">
        <v>0.05</v>
      </c>
      <c r="F1471" s="35">
        <v>10</v>
      </c>
      <c r="G1471" s="36">
        <v>26.04</v>
      </c>
    </row>
    <row r="1472" spans="3:7" x14ac:dyDescent="0.3">
      <c r="C1472" s="39"/>
      <c r="D1472" s="35" t="s">
        <v>665</v>
      </c>
      <c r="E1472" s="35">
        <v>0.02</v>
      </c>
      <c r="F1472" s="35">
        <v>2.101</v>
      </c>
      <c r="G1472" s="36">
        <v>15.26</v>
      </c>
    </row>
    <row r="1473" spans="3:7" x14ac:dyDescent="0.3">
      <c r="C1473" s="39"/>
      <c r="D1473" s="40" t="s">
        <v>666</v>
      </c>
      <c r="E1473" s="40">
        <v>0</v>
      </c>
      <c r="F1473" s="40">
        <v>1</v>
      </c>
      <c r="G1473" s="41">
        <v>47.99</v>
      </c>
    </row>
    <row r="1474" spans="3:7" x14ac:dyDescent="0.3">
      <c r="C1474" s="39"/>
      <c r="D1474" s="35" t="s">
        <v>692</v>
      </c>
      <c r="E1474" s="35">
        <v>0.13</v>
      </c>
      <c r="F1474" s="35">
        <v>24</v>
      </c>
      <c r="G1474" s="36">
        <v>25.42</v>
      </c>
    </row>
    <row r="1475" spans="3:7" x14ac:dyDescent="0.3">
      <c r="C1475" s="39"/>
      <c r="D1475" s="35" t="s">
        <v>631</v>
      </c>
      <c r="E1475" s="35">
        <v>0.15</v>
      </c>
      <c r="F1475" s="35">
        <v>25</v>
      </c>
      <c r="G1475" s="36">
        <v>21.79</v>
      </c>
    </row>
    <row r="1476" spans="3:7" x14ac:dyDescent="0.3">
      <c r="C1476" s="39"/>
      <c r="D1476" s="35" t="s">
        <v>632</v>
      </c>
      <c r="E1476" s="35">
        <v>0.05</v>
      </c>
      <c r="F1476" s="35">
        <v>11</v>
      </c>
      <c r="G1476" s="36">
        <v>26.95</v>
      </c>
    </row>
    <row r="1477" spans="3:7" x14ac:dyDescent="0.3">
      <c r="C1477" s="39"/>
      <c r="D1477" s="35" t="s">
        <v>633</v>
      </c>
      <c r="E1477" s="35">
        <v>0.03</v>
      </c>
      <c r="F1477" s="35">
        <v>8</v>
      </c>
      <c r="G1477" s="36">
        <v>30.74</v>
      </c>
    </row>
    <row r="1478" spans="3:7" x14ac:dyDescent="0.3">
      <c r="C1478" s="39"/>
      <c r="D1478" s="35" t="s">
        <v>648</v>
      </c>
      <c r="E1478" s="35">
        <v>7.0000000000000007E-2</v>
      </c>
      <c r="F1478" s="35">
        <v>16</v>
      </c>
      <c r="G1478" s="36">
        <v>29.9</v>
      </c>
    </row>
    <row r="1479" spans="3:7" x14ac:dyDescent="0.3">
      <c r="C1479" s="39"/>
      <c r="D1479" s="40" t="s">
        <v>649</v>
      </c>
      <c r="E1479" s="40">
        <v>0.01</v>
      </c>
      <c r="F1479" s="40">
        <v>1</v>
      </c>
      <c r="G1479" s="41">
        <v>9.17</v>
      </c>
    </row>
    <row r="1480" spans="3:7" x14ac:dyDescent="0.3">
      <c r="C1480" s="39"/>
      <c r="D1480" s="35" t="s">
        <v>667</v>
      </c>
      <c r="E1480" s="35">
        <v>0.02</v>
      </c>
      <c r="F1480" s="35">
        <v>2</v>
      </c>
      <c r="G1480" s="36">
        <v>14.79</v>
      </c>
    </row>
    <row r="1481" spans="3:7" x14ac:dyDescent="0.3">
      <c r="C1481" s="39"/>
      <c r="D1481" s="35" t="s">
        <v>608</v>
      </c>
      <c r="E1481" s="35">
        <v>0.13</v>
      </c>
      <c r="F1481" s="35">
        <v>5.9660000000000002</v>
      </c>
      <c r="G1481" s="36">
        <v>6.05</v>
      </c>
    </row>
    <row r="1482" spans="3:7" x14ac:dyDescent="0.3">
      <c r="C1482" s="39"/>
      <c r="D1482" s="35" t="s">
        <v>609</v>
      </c>
      <c r="E1482" s="35">
        <v>0.02</v>
      </c>
      <c r="F1482" s="35">
        <v>10</v>
      </c>
      <c r="G1482" s="36">
        <v>65.61</v>
      </c>
    </row>
    <row r="1483" spans="3:7" x14ac:dyDescent="0.3">
      <c r="C1483" s="39"/>
      <c r="D1483" s="35" t="s">
        <v>669</v>
      </c>
      <c r="E1483" s="35">
        <v>0.1</v>
      </c>
      <c r="F1483" s="35">
        <v>8</v>
      </c>
      <c r="G1483" s="36">
        <v>10.98</v>
      </c>
    </row>
    <row r="1484" spans="3:7" x14ac:dyDescent="0.3">
      <c r="C1484" s="39"/>
      <c r="D1484" s="35" t="s">
        <v>650</v>
      </c>
      <c r="E1484" s="35">
        <v>0.12</v>
      </c>
      <c r="F1484" s="35">
        <v>20</v>
      </c>
      <c r="G1484" s="36">
        <v>23.04</v>
      </c>
    </row>
    <row r="1485" spans="3:7" x14ac:dyDescent="0.3">
      <c r="C1485" s="39"/>
      <c r="D1485" s="35" t="s">
        <v>651</v>
      </c>
      <c r="E1485" s="35">
        <v>0.12</v>
      </c>
      <c r="F1485" s="35">
        <v>20</v>
      </c>
      <c r="G1485" s="36">
        <v>23.04</v>
      </c>
    </row>
    <row r="1486" spans="3:7" x14ac:dyDescent="0.3">
      <c r="C1486" s="39"/>
      <c r="D1486" s="35" t="s">
        <v>653</v>
      </c>
      <c r="E1486" s="35">
        <v>0.03</v>
      </c>
      <c r="F1486" s="35">
        <v>6</v>
      </c>
      <c r="G1486" s="36">
        <v>28.86</v>
      </c>
    </row>
    <row r="1487" spans="3:7" x14ac:dyDescent="0.3">
      <c r="C1487" s="39"/>
      <c r="D1487" s="35" t="s">
        <v>634</v>
      </c>
      <c r="E1487" s="35">
        <v>0.01</v>
      </c>
      <c r="F1487" s="35">
        <v>2</v>
      </c>
      <c r="G1487" s="36">
        <v>31.51</v>
      </c>
    </row>
    <row r="1488" spans="3:7" x14ac:dyDescent="0.3">
      <c r="C1488" s="39"/>
      <c r="D1488" s="35" t="s">
        <v>610</v>
      </c>
      <c r="E1488" s="35">
        <v>0.05</v>
      </c>
      <c r="F1488" s="35">
        <v>12</v>
      </c>
      <c r="G1488" s="36">
        <v>29.83</v>
      </c>
    </row>
    <row r="1489" spans="3:7" x14ac:dyDescent="0.3">
      <c r="C1489" s="42"/>
      <c r="D1489" s="46" t="s">
        <v>353</v>
      </c>
      <c r="E1489" s="46">
        <v>0.01</v>
      </c>
      <c r="F1489" s="46">
        <v>1</v>
      </c>
      <c r="G1489" s="47">
        <v>11.47</v>
      </c>
    </row>
    <row r="1493" spans="3:7" x14ac:dyDescent="0.3">
      <c r="C1493" s="31" t="s">
        <v>693</v>
      </c>
      <c r="D1493" s="32" t="s">
        <v>24</v>
      </c>
      <c r="E1493" s="32" t="s">
        <v>10</v>
      </c>
      <c r="F1493" s="32" t="s">
        <v>11</v>
      </c>
      <c r="G1493" s="33" t="s">
        <v>25</v>
      </c>
    </row>
    <row r="1494" spans="3:7" x14ac:dyDescent="0.3">
      <c r="C1494" s="34" t="s">
        <v>694</v>
      </c>
      <c r="D1494" s="35" t="s">
        <v>605</v>
      </c>
      <c r="E1494" s="35">
        <v>0.23</v>
      </c>
      <c r="F1494" s="35">
        <v>25</v>
      </c>
      <c r="G1494" s="36">
        <v>14.54</v>
      </c>
    </row>
    <row r="1495" spans="3:7" x14ac:dyDescent="0.3">
      <c r="C1495" s="34" t="s">
        <v>695</v>
      </c>
      <c r="D1495" s="35" t="s">
        <v>642</v>
      </c>
      <c r="E1495" s="35">
        <v>0.2</v>
      </c>
      <c r="F1495" s="35">
        <v>42</v>
      </c>
      <c r="G1495" s="36">
        <v>27.74</v>
      </c>
    </row>
    <row r="1496" spans="3:7" x14ac:dyDescent="0.3">
      <c r="C1496" s="34" t="s">
        <v>506</v>
      </c>
      <c r="D1496" s="35" t="s">
        <v>619</v>
      </c>
      <c r="E1496" s="35">
        <v>0.05</v>
      </c>
      <c r="F1496" s="35">
        <v>14</v>
      </c>
      <c r="G1496" s="36">
        <v>34.56</v>
      </c>
    </row>
    <row r="1497" spans="3:7" x14ac:dyDescent="0.3">
      <c r="C1497" s="39"/>
      <c r="D1497" s="35" t="s">
        <v>620</v>
      </c>
      <c r="E1497" s="35">
        <v>7.0000000000000007E-2</v>
      </c>
      <c r="F1497" s="35">
        <v>14</v>
      </c>
      <c r="G1497" s="36">
        <v>26.63</v>
      </c>
    </row>
    <row r="1498" spans="3:7" x14ac:dyDescent="0.3">
      <c r="C1498" s="39"/>
      <c r="D1498" s="35" t="s">
        <v>643</v>
      </c>
      <c r="E1498" s="35">
        <v>7.0000000000000007E-2</v>
      </c>
      <c r="F1498" s="35">
        <v>14</v>
      </c>
      <c r="G1498" s="36">
        <v>28.68</v>
      </c>
    </row>
    <row r="1499" spans="3:7" x14ac:dyDescent="0.3">
      <c r="C1499" s="39"/>
      <c r="D1499" s="35" t="s">
        <v>663</v>
      </c>
      <c r="E1499" s="35">
        <v>7.0000000000000007E-2</v>
      </c>
      <c r="F1499" s="35">
        <v>14</v>
      </c>
      <c r="G1499" s="36">
        <v>26.9</v>
      </c>
    </row>
    <row r="1500" spans="3:7" x14ac:dyDescent="0.3">
      <c r="C1500" s="39"/>
      <c r="D1500" s="37" t="s">
        <v>623</v>
      </c>
      <c r="E1500" s="37">
        <v>0.18</v>
      </c>
      <c r="F1500" s="37">
        <v>54</v>
      </c>
      <c r="G1500" s="38">
        <v>39.020000000000003</v>
      </c>
    </row>
    <row r="1501" spans="3:7" x14ac:dyDescent="0.3">
      <c r="C1501" s="39"/>
      <c r="D1501" s="35" t="s">
        <v>646</v>
      </c>
      <c r="E1501" s="35">
        <v>0</v>
      </c>
      <c r="F1501" s="35">
        <v>1</v>
      </c>
      <c r="G1501" s="36">
        <v>28.42</v>
      </c>
    </row>
    <row r="1502" spans="3:7" x14ac:dyDescent="0.3">
      <c r="C1502" s="39"/>
      <c r="D1502" s="35" t="s">
        <v>624</v>
      </c>
      <c r="E1502" s="35">
        <v>0.06</v>
      </c>
      <c r="F1502" s="35">
        <v>12.4</v>
      </c>
      <c r="G1502" s="36">
        <v>26.3</v>
      </c>
    </row>
    <row r="1503" spans="3:7" x14ac:dyDescent="0.3">
      <c r="C1503" s="39"/>
      <c r="D1503" s="35" t="s">
        <v>647</v>
      </c>
      <c r="E1503" s="35">
        <v>0.01</v>
      </c>
      <c r="F1503" s="35">
        <v>1.08</v>
      </c>
      <c r="G1503" s="36">
        <v>22.41</v>
      </c>
    </row>
    <row r="1504" spans="3:7" x14ac:dyDescent="0.3">
      <c r="C1504" s="39"/>
      <c r="D1504" s="35" t="s">
        <v>625</v>
      </c>
      <c r="E1504" s="35">
        <v>0</v>
      </c>
      <c r="F1504" s="35">
        <v>0.4</v>
      </c>
      <c r="G1504" s="36">
        <v>21.55</v>
      </c>
    </row>
    <row r="1505" spans="3:7" x14ac:dyDescent="0.3">
      <c r="C1505" s="39"/>
      <c r="D1505" s="35" t="s">
        <v>626</v>
      </c>
      <c r="E1505" s="35">
        <v>0.1</v>
      </c>
      <c r="F1505" s="35">
        <v>20</v>
      </c>
      <c r="G1505" s="36">
        <v>28</v>
      </c>
    </row>
    <row r="1506" spans="3:7" x14ac:dyDescent="0.3">
      <c r="C1506" s="39"/>
      <c r="D1506" s="35" t="s">
        <v>664</v>
      </c>
      <c r="E1506" s="35">
        <v>0.09</v>
      </c>
      <c r="F1506" s="35">
        <v>21</v>
      </c>
      <c r="G1506" s="36">
        <v>32.43</v>
      </c>
    </row>
    <row r="1507" spans="3:7" x14ac:dyDescent="0.3">
      <c r="C1507" s="39"/>
      <c r="D1507" s="35" t="s">
        <v>606</v>
      </c>
      <c r="E1507" s="35">
        <v>0.18</v>
      </c>
      <c r="F1507" s="35">
        <v>25</v>
      </c>
      <c r="G1507" s="36">
        <v>18.559999999999999</v>
      </c>
    </row>
    <row r="1508" spans="3:7" x14ac:dyDescent="0.3">
      <c r="C1508" s="39"/>
      <c r="D1508" s="40" t="s">
        <v>665</v>
      </c>
      <c r="E1508" s="40">
        <v>0</v>
      </c>
      <c r="F1508" s="40">
        <v>0.191</v>
      </c>
      <c r="G1508" s="41">
        <v>15.26</v>
      </c>
    </row>
    <row r="1509" spans="3:7" x14ac:dyDescent="0.3">
      <c r="C1509" s="39"/>
      <c r="D1509" s="35" t="s">
        <v>630</v>
      </c>
      <c r="E1509" s="35">
        <v>7.0000000000000007E-2</v>
      </c>
      <c r="F1509" s="35">
        <v>14</v>
      </c>
      <c r="G1509" s="36">
        <v>25.25</v>
      </c>
    </row>
    <row r="1510" spans="3:7" x14ac:dyDescent="0.3">
      <c r="C1510" s="39"/>
      <c r="D1510" s="35" t="s">
        <v>666</v>
      </c>
      <c r="E1510" s="35">
        <v>0</v>
      </c>
      <c r="F1510" s="35">
        <v>1</v>
      </c>
      <c r="G1510" s="36">
        <v>47.99</v>
      </c>
    </row>
    <row r="1511" spans="3:7" x14ac:dyDescent="0.3">
      <c r="C1511" s="39"/>
      <c r="D1511" s="35" t="s">
        <v>607</v>
      </c>
      <c r="E1511" s="35">
        <v>0.11</v>
      </c>
      <c r="F1511" s="35">
        <v>20</v>
      </c>
      <c r="G1511" s="36">
        <v>23.51</v>
      </c>
    </row>
    <row r="1512" spans="3:7" x14ac:dyDescent="0.3">
      <c r="C1512" s="39"/>
      <c r="D1512" s="35" t="s">
        <v>632</v>
      </c>
      <c r="E1512" s="35">
        <v>0.03</v>
      </c>
      <c r="F1512" s="35">
        <v>6</v>
      </c>
      <c r="G1512" s="36">
        <v>26.95</v>
      </c>
    </row>
    <row r="1513" spans="3:7" x14ac:dyDescent="0.3">
      <c r="C1513" s="39"/>
      <c r="D1513" s="35" t="s">
        <v>633</v>
      </c>
      <c r="E1513" s="35">
        <v>0.03</v>
      </c>
      <c r="F1513" s="35">
        <v>8</v>
      </c>
      <c r="G1513" s="36">
        <v>30.74</v>
      </c>
    </row>
    <row r="1514" spans="3:7" x14ac:dyDescent="0.3">
      <c r="C1514" s="39"/>
      <c r="D1514" s="35" t="s">
        <v>648</v>
      </c>
      <c r="E1514" s="35">
        <v>0.03</v>
      </c>
      <c r="F1514" s="35">
        <v>6</v>
      </c>
      <c r="G1514" s="36">
        <v>29.9</v>
      </c>
    </row>
    <row r="1515" spans="3:7" x14ac:dyDescent="0.3">
      <c r="C1515" s="39"/>
      <c r="D1515" s="35" t="s">
        <v>649</v>
      </c>
      <c r="E1515" s="35">
        <v>0.01</v>
      </c>
      <c r="F1515" s="35">
        <v>1</v>
      </c>
      <c r="G1515" s="36">
        <v>9.17</v>
      </c>
    </row>
    <row r="1516" spans="3:7" x14ac:dyDescent="0.3">
      <c r="C1516" s="39"/>
      <c r="D1516" s="35" t="s">
        <v>667</v>
      </c>
      <c r="E1516" s="35">
        <v>0.02</v>
      </c>
      <c r="F1516" s="35">
        <v>2</v>
      </c>
      <c r="G1516" s="36">
        <v>14.79</v>
      </c>
    </row>
    <row r="1517" spans="3:7" x14ac:dyDescent="0.3">
      <c r="C1517" s="39"/>
      <c r="D1517" s="35" t="s">
        <v>608</v>
      </c>
      <c r="E1517" s="35">
        <v>7.0000000000000007E-2</v>
      </c>
      <c r="F1517" s="35">
        <v>2.9980000000000002</v>
      </c>
      <c r="G1517" s="36">
        <v>6.05</v>
      </c>
    </row>
    <row r="1518" spans="3:7" x14ac:dyDescent="0.3">
      <c r="C1518" s="39"/>
      <c r="D1518" s="35" t="s">
        <v>634</v>
      </c>
      <c r="E1518" s="35">
        <v>0.01</v>
      </c>
      <c r="F1518" s="35">
        <v>2</v>
      </c>
      <c r="G1518" s="36">
        <v>31.51</v>
      </c>
    </row>
    <row r="1519" spans="3:7" x14ac:dyDescent="0.3">
      <c r="C1519" s="42"/>
      <c r="D1519" s="43" t="s">
        <v>353</v>
      </c>
      <c r="E1519" s="43">
        <v>0.01</v>
      </c>
      <c r="F1519" s="43">
        <v>1</v>
      </c>
      <c r="G1519" s="44">
        <v>11.47</v>
      </c>
    </row>
    <row r="1523" spans="3:7" x14ac:dyDescent="0.3">
      <c r="C1523" s="31" t="s">
        <v>696</v>
      </c>
      <c r="D1523" s="32" t="s">
        <v>24</v>
      </c>
      <c r="E1523" s="32" t="s">
        <v>10</v>
      </c>
      <c r="F1523" s="32" t="s">
        <v>11</v>
      </c>
      <c r="G1523" s="33" t="s">
        <v>25</v>
      </c>
    </row>
    <row r="1524" spans="3:7" x14ac:dyDescent="0.3">
      <c r="C1524" s="34" t="s">
        <v>697</v>
      </c>
      <c r="D1524" s="35" t="s">
        <v>659</v>
      </c>
      <c r="E1524" s="35">
        <v>0.1</v>
      </c>
      <c r="F1524" s="35">
        <v>15</v>
      </c>
      <c r="G1524" s="36">
        <v>19.28</v>
      </c>
    </row>
    <row r="1525" spans="3:7" x14ac:dyDescent="0.3">
      <c r="C1525" s="34" t="s">
        <v>698</v>
      </c>
      <c r="D1525" s="35" t="s">
        <v>618</v>
      </c>
      <c r="E1525" s="35">
        <v>0.03</v>
      </c>
      <c r="F1525" s="35">
        <v>10</v>
      </c>
      <c r="G1525" s="36">
        <v>39.119999999999997</v>
      </c>
    </row>
    <row r="1526" spans="3:7" x14ac:dyDescent="0.3">
      <c r="C1526" s="34" t="s">
        <v>506</v>
      </c>
      <c r="D1526" s="35" t="s">
        <v>660</v>
      </c>
      <c r="E1526" s="35">
        <v>0.08</v>
      </c>
      <c r="F1526" s="35">
        <v>14</v>
      </c>
      <c r="G1526" s="36">
        <v>23.83</v>
      </c>
    </row>
    <row r="1527" spans="3:7" x14ac:dyDescent="0.3">
      <c r="C1527" s="39"/>
      <c r="D1527" s="35" t="s">
        <v>620</v>
      </c>
      <c r="E1527" s="35">
        <v>7.0000000000000007E-2</v>
      </c>
      <c r="F1527" s="35">
        <v>14</v>
      </c>
      <c r="G1527" s="36">
        <v>26.63</v>
      </c>
    </row>
    <row r="1528" spans="3:7" x14ac:dyDescent="0.3">
      <c r="C1528" s="39"/>
      <c r="D1528" s="35" t="s">
        <v>621</v>
      </c>
      <c r="E1528" s="35">
        <v>0.1</v>
      </c>
      <c r="F1528" s="35">
        <v>14</v>
      </c>
      <c r="G1528" s="36">
        <v>19.440000000000001</v>
      </c>
    </row>
    <row r="1529" spans="3:7" x14ac:dyDescent="0.3">
      <c r="C1529" s="39"/>
      <c r="D1529" s="35" t="s">
        <v>661</v>
      </c>
      <c r="E1529" s="35">
        <v>0.04</v>
      </c>
      <c r="F1529" s="35">
        <v>10</v>
      </c>
      <c r="G1529" s="36">
        <v>37.99</v>
      </c>
    </row>
    <row r="1530" spans="3:7" x14ac:dyDescent="0.3">
      <c r="C1530" s="39"/>
      <c r="D1530" s="35" t="s">
        <v>643</v>
      </c>
      <c r="E1530" s="35">
        <v>7.0000000000000007E-2</v>
      </c>
      <c r="F1530" s="35">
        <v>14</v>
      </c>
      <c r="G1530" s="36">
        <v>28.68</v>
      </c>
    </row>
    <row r="1531" spans="3:7" x14ac:dyDescent="0.3">
      <c r="C1531" s="39"/>
      <c r="D1531" s="35" t="s">
        <v>622</v>
      </c>
      <c r="E1531" s="35">
        <v>0.06</v>
      </c>
      <c r="F1531" s="35">
        <v>12.5</v>
      </c>
      <c r="G1531" s="36">
        <v>29.1</v>
      </c>
    </row>
    <row r="1532" spans="3:7" x14ac:dyDescent="0.3">
      <c r="C1532" s="39"/>
      <c r="D1532" s="35" t="s">
        <v>699</v>
      </c>
      <c r="E1532" s="35">
        <v>7.0000000000000007E-2</v>
      </c>
      <c r="F1532" s="35">
        <v>12</v>
      </c>
      <c r="G1532" s="36">
        <v>22.38</v>
      </c>
    </row>
    <row r="1533" spans="3:7" x14ac:dyDescent="0.3">
      <c r="C1533" s="39"/>
      <c r="D1533" s="37" t="s">
        <v>623</v>
      </c>
      <c r="E1533" s="37">
        <v>0.18</v>
      </c>
      <c r="F1533" s="37">
        <v>54</v>
      </c>
      <c r="G1533" s="38">
        <v>39.020000000000003</v>
      </c>
    </row>
    <row r="1534" spans="3:7" x14ac:dyDescent="0.3">
      <c r="C1534" s="39"/>
      <c r="D1534" s="35" t="s">
        <v>646</v>
      </c>
      <c r="E1534" s="35">
        <v>0</v>
      </c>
      <c r="F1534" s="35">
        <v>1</v>
      </c>
      <c r="G1534" s="36">
        <v>28.42</v>
      </c>
    </row>
    <row r="1535" spans="3:7" x14ac:dyDescent="0.3">
      <c r="C1535" s="39"/>
      <c r="D1535" s="35" t="s">
        <v>624</v>
      </c>
      <c r="E1535" s="35">
        <v>0.06</v>
      </c>
      <c r="F1535" s="35">
        <v>12.4</v>
      </c>
      <c r="G1535" s="36">
        <v>26.3</v>
      </c>
    </row>
    <row r="1536" spans="3:7" x14ac:dyDescent="0.3">
      <c r="C1536" s="39"/>
      <c r="D1536" s="35" t="s">
        <v>647</v>
      </c>
      <c r="E1536" s="35">
        <v>0.01</v>
      </c>
      <c r="F1536" s="35">
        <v>1.08</v>
      </c>
      <c r="G1536" s="36">
        <v>22.41</v>
      </c>
    </row>
    <row r="1537" spans="3:7" x14ac:dyDescent="0.3">
      <c r="C1537" s="39"/>
      <c r="D1537" s="35" t="s">
        <v>625</v>
      </c>
      <c r="E1537" s="35">
        <v>0</v>
      </c>
      <c r="F1537" s="35">
        <v>0.4</v>
      </c>
      <c r="G1537" s="36">
        <v>21.55</v>
      </c>
    </row>
    <row r="1538" spans="3:7" x14ac:dyDescent="0.3">
      <c r="C1538" s="39"/>
      <c r="D1538" s="35" t="s">
        <v>664</v>
      </c>
      <c r="E1538" s="35">
        <v>0.06</v>
      </c>
      <c r="F1538" s="35">
        <v>15</v>
      </c>
      <c r="G1538" s="36">
        <v>32.43</v>
      </c>
    </row>
    <row r="1539" spans="3:7" x14ac:dyDescent="0.3">
      <c r="C1539" s="39"/>
      <c r="D1539" s="35" t="s">
        <v>627</v>
      </c>
      <c r="E1539" s="35">
        <v>0.05</v>
      </c>
      <c r="F1539" s="35">
        <v>10</v>
      </c>
      <c r="G1539" s="36">
        <v>26.04</v>
      </c>
    </row>
    <row r="1540" spans="3:7" x14ac:dyDescent="0.3">
      <c r="C1540" s="39"/>
      <c r="D1540" s="35" t="s">
        <v>628</v>
      </c>
      <c r="E1540" s="35">
        <v>7.0000000000000007E-2</v>
      </c>
      <c r="F1540" s="35">
        <v>10</v>
      </c>
      <c r="G1540" s="36">
        <v>20.48</v>
      </c>
    </row>
    <row r="1541" spans="3:7" x14ac:dyDescent="0.3">
      <c r="C1541" s="39"/>
      <c r="D1541" s="40" t="s">
        <v>665</v>
      </c>
      <c r="E1541" s="40">
        <v>0</v>
      </c>
      <c r="F1541" s="40">
        <v>0.191</v>
      </c>
      <c r="G1541" s="41">
        <v>15.26</v>
      </c>
    </row>
    <row r="1542" spans="3:7" x14ac:dyDescent="0.3">
      <c r="C1542" s="39"/>
      <c r="D1542" s="35" t="s">
        <v>666</v>
      </c>
      <c r="E1542" s="35">
        <v>0</v>
      </c>
      <c r="F1542" s="35">
        <v>1</v>
      </c>
      <c r="G1542" s="36">
        <v>47.99</v>
      </c>
    </row>
    <row r="1543" spans="3:7" x14ac:dyDescent="0.3">
      <c r="C1543" s="39"/>
      <c r="D1543" s="35" t="s">
        <v>685</v>
      </c>
      <c r="E1543" s="35">
        <v>0.22</v>
      </c>
      <c r="F1543" s="35">
        <v>50</v>
      </c>
      <c r="G1543" s="36">
        <v>29.73</v>
      </c>
    </row>
    <row r="1544" spans="3:7" x14ac:dyDescent="0.3">
      <c r="C1544" s="39"/>
      <c r="D1544" s="35" t="s">
        <v>631</v>
      </c>
      <c r="E1544" s="35">
        <v>0.15</v>
      </c>
      <c r="F1544" s="35">
        <v>25</v>
      </c>
      <c r="G1544" s="36">
        <v>21.79</v>
      </c>
    </row>
    <row r="1545" spans="3:7" x14ac:dyDescent="0.3">
      <c r="C1545" s="39"/>
      <c r="D1545" s="35" t="s">
        <v>632</v>
      </c>
      <c r="E1545" s="35">
        <v>0.03</v>
      </c>
      <c r="F1545" s="35">
        <v>6</v>
      </c>
      <c r="G1545" s="36">
        <v>26.95</v>
      </c>
    </row>
    <row r="1546" spans="3:7" x14ac:dyDescent="0.3">
      <c r="C1546" s="39"/>
      <c r="D1546" s="35" t="s">
        <v>633</v>
      </c>
      <c r="E1546" s="35">
        <v>0.03</v>
      </c>
      <c r="F1546" s="35">
        <v>8</v>
      </c>
      <c r="G1546" s="36">
        <v>30.74</v>
      </c>
    </row>
    <row r="1547" spans="3:7" x14ac:dyDescent="0.3">
      <c r="C1547" s="39"/>
      <c r="D1547" s="35" t="s">
        <v>648</v>
      </c>
      <c r="E1547" s="35">
        <v>0.03</v>
      </c>
      <c r="F1547" s="35">
        <v>6</v>
      </c>
      <c r="G1547" s="36">
        <v>29.9</v>
      </c>
    </row>
    <row r="1548" spans="3:7" x14ac:dyDescent="0.3">
      <c r="C1548" s="39"/>
      <c r="D1548" s="35" t="s">
        <v>649</v>
      </c>
      <c r="E1548" s="35">
        <v>0.01</v>
      </c>
      <c r="F1548" s="35">
        <v>1</v>
      </c>
      <c r="G1548" s="36">
        <v>9.17</v>
      </c>
    </row>
    <row r="1549" spans="3:7" x14ac:dyDescent="0.3">
      <c r="C1549" s="39"/>
      <c r="D1549" s="35" t="s">
        <v>667</v>
      </c>
      <c r="E1549" s="35">
        <v>0.02</v>
      </c>
      <c r="F1549" s="35">
        <v>2</v>
      </c>
      <c r="G1549" s="36">
        <v>14.79</v>
      </c>
    </row>
    <row r="1550" spans="3:7" x14ac:dyDescent="0.3">
      <c r="C1550" s="39"/>
      <c r="D1550" s="35" t="s">
        <v>669</v>
      </c>
      <c r="E1550" s="35">
        <v>0.1</v>
      </c>
      <c r="F1550" s="35">
        <v>8</v>
      </c>
      <c r="G1550" s="36">
        <v>10.98</v>
      </c>
    </row>
    <row r="1551" spans="3:7" x14ac:dyDescent="0.3">
      <c r="C1551" s="39"/>
      <c r="D1551" s="35" t="s">
        <v>652</v>
      </c>
      <c r="E1551" s="35">
        <v>0.68</v>
      </c>
      <c r="F1551" s="35">
        <v>6</v>
      </c>
      <c r="G1551" s="36">
        <v>1.17</v>
      </c>
    </row>
    <row r="1552" spans="3:7" x14ac:dyDescent="0.3">
      <c r="C1552" s="39"/>
      <c r="D1552" s="35" t="s">
        <v>634</v>
      </c>
      <c r="E1552" s="35">
        <v>0.01</v>
      </c>
      <c r="F1552" s="35">
        <v>2</v>
      </c>
      <c r="G1552" s="36">
        <v>31.51</v>
      </c>
    </row>
    <row r="1553" spans="3:7" x14ac:dyDescent="0.3">
      <c r="C1553" s="42"/>
      <c r="D1553" s="43" t="s">
        <v>353</v>
      </c>
      <c r="E1553" s="43">
        <v>0.01</v>
      </c>
      <c r="F1553" s="43">
        <v>1</v>
      </c>
      <c r="G1553" s="44">
        <v>11.47</v>
      </c>
    </row>
    <row r="1557" spans="3:7" x14ac:dyDescent="0.3">
      <c r="C1557" s="31" t="s">
        <v>700</v>
      </c>
      <c r="D1557" s="32" t="s">
        <v>24</v>
      </c>
      <c r="E1557" s="32" t="s">
        <v>10</v>
      </c>
      <c r="F1557" s="32" t="s">
        <v>11</v>
      </c>
      <c r="G1557" s="33" t="s">
        <v>25</v>
      </c>
    </row>
    <row r="1558" spans="3:7" x14ac:dyDescent="0.3">
      <c r="C1558" s="34" t="s">
        <v>701</v>
      </c>
      <c r="D1558" s="37" t="s">
        <v>702</v>
      </c>
      <c r="E1558" s="37">
        <v>0.02</v>
      </c>
      <c r="F1558" s="37">
        <v>0.68600000000000005</v>
      </c>
      <c r="G1558" s="38">
        <v>4.8600000000000003</v>
      </c>
    </row>
    <row r="1559" spans="3:7" x14ac:dyDescent="0.3">
      <c r="C1559" s="34" t="s">
        <v>703</v>
      </c>
      <c r="D1559" s="35"/>
      <c r="E1559" s="35"/>
      <c r="F1559" s="35"/>
      <c r="G1559" s="36"/>
    </row>
    <row r="1560" spans="3:7" x14ac:dyDescent="0.3">
      <c r="C1560" s="45" t="s">
        <v>293</v>
      </c>
      <c r="D1560" s="43"/>
      <c r="E1560" s="43"/>
      <c r="F1560" s="43"/>
      <c r="G1560" s="44"/>
    </row>
    <row r="1564" spans="3:7" x14ac:dyDescent="0.3">
      <c r="C1564" s="31" t="s">
        <v>704</v>
      </c>
      <c r="D1564" s="32" t="s">
        <v>24</v>
      </c>
      <c r="E1564" s="32" t="s">
        <v>10</v>
      </c>
      <c r="F1564" s="32" t="s">
        <v>11</v>
      </c>
      <c r="G1564" s="33" t="s">
        <v>25</v>
      </c>
    </row>
    <row r="1565" spans="3:7" x14ac:dyDescent="0.3">
      <c r="C1565" s="34" t="s">
        <v>705</v>
      </c>
      <c r="D1565" s="37" t="s">
        <v>706</v>
      </c>
      <c r="E1565" s="37">
        <v>0.19</v>
      </c>
      <c r="F1565" s="37">
        <v>7</v>
      </c>
      <c r="G1565" s="38">
        <v>4.8600000000000003</v>
      </c>
    </row>
    <row r="1566" spans="3:7" x14ac:dyDescent="0.3">
      <c r="C1566" s="34" t="s">
        <v>707</v>
      </c>
      <c r="D1566" s="35"/>
      <c r="E1566" s="35"/>
      <c r="F1566" s="35"/>
      <c r="G1566" s="36"/>
    </row>
    <row r="1567" spans="3:7" x14ac:dyDescent="0.3">
      <c r="C1567" s="45" t="s">
        <v>293</v>
      </c>
      <c r="D1567" s="43"/>
      <c r="E1567" s="43"/>
      <c r="F1567" s="43"/>
      <c r="G1567" s="4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Resultats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Dye</cp:lastModifiedBy>
  <dcterms:created xsi:type="dcterms:W3CDTF">2026-01-14T15:25:45Z</dcterms:created>
  <dcterms:modified xsi:type="dcterms:W3CDTF">2026-02-25T10:23:57Z</dcterms:modified>
</cp:coreProperties>
</file>