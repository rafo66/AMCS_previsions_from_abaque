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rgb="FF000000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3999755851924192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2" fontId="0" fillId="0" borderId="0" pivotButton="0" quotePrefix="0" xfId="0"/>
    <xf numFmtId="0" fontId="0" fillId="5" borderId="8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2" fontId="0" fillId="0" borderId="7" pivotButton="0" quotePrefix="0" xfId="0"/>
    <xf numFmtId="0" fontId="0" fillId="0" borderId="2" pivotButton="0" quotePrefix="0" xfId="0"/>
    <xf numFmtId="0" fontId="0" fillId="0" borderId="3" pivotButton="0" quotePrefix="0" xfId="0"/>
    <xf numFmtId="2" fontId="0" fillId="6" borderId="0" pivotButton="0" quotePrefix="0" xfId="0"/>
    <xf numFmtId="2" fontId="0" fillId="0" borderId="9" pivotButton="0" quotePrefix="0" xfId="0"/>
    <xf numFmtId="2" fontId="0" fillId="2" borderId="10" pivotButton="0" quotePrefix="0" xfId="0"/>
    <xf numFmtId="2" fontId="0" fillId="6" borderId="11" pivotButton="0" quotePrefix="0" xfId="0"/>
    <xf numFmtId="2" fontId="0" fillId="6" borderId="7" pivotButton="0" quotePrefix="0" xfId="0"/>
    <xf numFmtId="2" fontId="0" fillId="2" borderId="8" pivotButton="0" quotePrefix="0" xfId="0"/>
    <xf numFmtId="2" fontId="0" fillId="2" borderId="12" applyAlignment="1" pivotButton="0" quotePrefix="0" xfId="0">
      <alignment horizontal="center" vertical="center"/>
    </xf>
    <xf numFmtId="2" fontId="0" fillId="2" borderId="13" applyAlignment="1" pivotButton="0" quotePrefix="0" xfId="0">
      <alignment horizontal="center" vertical="center"/>
    </xf>
    <xf numFmtId="2" fontId="0" fillId="3" borderId="1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2" fontId="0" fillId="4" borderId="12" applyAlignment="1" pivotButton="0" quotePrefix="0" xfId="0">
      <alignment horizontal="center" vertical="center"/>
    </xf>
    <xf numFmtId="2" fontId="0" fillId="4" borderId="13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6" borderId="4" applyAlignment="1" pivotButton="0" quotePrefix="0" xfId="0">
      <alignment horizontal="center" vertical="center"/>
    </xf>
    <xf numFmtId="2" fontId="0" fillId="0" borderId="5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2" fontId="0" fillId="6" borderId="5" applyAlignment="1" pivotButton="0" quotePrefix="0" xfId="0">
      <alignment horizontal="center" vertical="center"/>
    </xf>
    <xf numFmtId="2" fontId="0" fillId="6" borderId="6" applyAlignment="1" pivotButton="0" quotePrefix="0" xfId="0">
      <alignment horizontal="center" vertical="center"/>
    </xf>
    <xf numFmtId="2" fontId="0" fillId="4" borderId="11" applyAlignment="1" pivotButton="0" quotePrefix="0" xfId="0">
      <alignment horizontal="center"/>
    </xf>
    <xf numFmtId="0" fontId="0" fillId="0" borderId="4" pivotButton="0" quotePrefix="0" xfId="0"/>
    <xf numFmtId="0" fontId="0" fillId="5" borderId="11" applyAlignment="1" pivotButton="0" quotePrefix="0" xfId="0">
      <alignment horizontal="center"/>
    </xf>
    <xf numFmtId="2" fontId="0" fillId="2" borderId="11" applyAlignment="1" pivotButton="0" quotePrefix="0" xfId="0">
      <alignment horizontal="center"/>
    </xf>
    <xf numFmtId="2" fontId="0" fillId="3" borderId="11" applyAlignment="1" pivotButton="0" quotePrefix="0" xfId="0">
      <alignment horizontal="center"/>
    </xf>
    <xf numFmtId="0" fontId="1" fillId="2" borderId="11" applyAlignment="1" pivotButton="0" quotePrefix="0" xfId="0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theme="6" tint="0.399945066682943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Feuil1">
    <outlinePr summaryBelow="1" summaryRight="1"/>
    <pageSetUpPr/>
  </sheetPr>
  <dimension ref="A2:V27"/>
  <sheetViews>
    <sheetView tabSelected="1" zoomScaleNormal="100" workbookViewId="0">
      <pane xSplit="1" topLeftCell="B1" activePane="topRight" state="frozen"/>
      <selection pane="topRight" activeCell="E16" sqref="E16"/>
    </sheetView>
  </sheetViews>
  <sheetFormatPr baseColWidth="10" defaultColWidth="8.88671875" defaultRowHeight="14.4"/>
  <cols>
    <col width="8.88671875" customWidth="1" style="1" min="1" max="1"/>
    <col width="9.109375" customWidth="1" style="1" min="2" max="2"/>
    <col width="13.44140625" customWidth="1" style="1" min="3" max="3"/>
    <col width="17.6640625" customWidth="1" style="1" min="4" max="4"/>
    <col width="21.33203125" customWidth="1" style="1" min="5" max="5"/>
    <col width="12.109375" customWidth="1" style="1" min="6" max="6"/>
    <col width="18.77734375" customWidth="1" style="1" min="7" max="7"/>
    <col width="8.88671875" customWidth="1" style="1" min="8" max="8"/>
    <col width="9" bestFit="1" customWidth="1" style="1" min="9" max="9"/>
    <col width="8.88671875" customWidth="1" style="1" min="10" max="10"/>
    <col width="9" bestFit="1" customWidth="1" style="1" min="11" max="11"/>
    <col width="8.88671875" customWidth="1" style="1" min="12" max="12"/>
    <col width="9" bestFit="1" customWidth="1" style="1" min="13" max="13"/>
    <col width="8.88671875" customWidth="1" style="1" min="14" max="14"/>
    <col width="9" bestFit="1" customWidth="1" style="1" min="15" max="15"/>
    <col width="8.88671875" customWidth="1" style="1" min="16" max="16"/>
    <col width="9" bestFit="1" customWidth="1" style="1" min="17" max="17"/>
    <col width="8.88671875" customWidth="1" style="1" min="18" max="18"/>
    <col width="9" bestFit="1" customWidth="1" style="1" min="19" max="19"/>
    <col width="8.88671875" customWidth="1" style="1" min="20" max="20"/>
    <col width="9" bestFit="1" customWidth="1" style="1" min="21" max="21"/>
    <col hidden="1" width="13" customWidth="1" style="1" min="22" max="23"/>
    <col width="8.88671875" customWidth="1" style="1" min="24" max="36"/>
    <col width="8.88671875" customWidth="1" style="1" min="37" max="16384"/>
  </cols>
  <sheetData>
    <row r="1" ht="15" customHeight="1" thickBot="1"/>
    <row r="2" ht="15" customHeight="1" thickBot="1">
      <c r="B2" s="29" t="inlineStr">
        <is>
          <t>Backlog</t>
        </is>
      </c>
      <c r="C2" s="27" t="n"/>
      <c r="D2" s="30" t="inlineStr">
        <is>
          <t>Forecast W</t>
        </is>
      </c>
      <c r="E2" s="27" t="n"/>
      <c r="F2" s="26" t="inlineStr">
        <is>
          <t>Forecast W1</t>
        </is>
      </c>
      <c r="G2" s="27" t="n"/>
      <c r="H2" s="26" t="inlineStr">
        <is>
          <t>Forecast W2</t>
        </is>
      </c>
      <c r="I2" s="27" t="n"/>
      <c r="J2" s="26" t="inlineStr">
        <is>
          <t>Forecast W3</t>
        </is>
      </c>
      <c r="K2" s="27" t="n"/>
      <c r="L2" s="26" t="inlineStr">
        <is>
          <t>Forecast W4</t>
        </is>
      </c>
      <c r="M2" s="27" t="n"/>
      <c r="N2" s="26" t="inlineStr">
        <is>
          <t>Forecast W5</t>
        </is>
      </c>
      <c r="O2" s="27" t="n"/>
      <c r="P2" s="26" t="inlineStr">
        <is>
          <t>Forecast W6</t>
        </is>
      </c>
      <c r="Q2" s="27" t="n"/>
      <c r="R2" s="26" t="inlineStr">
        <is>
          <t>Forecast W7</t>
        </is>
      </c>
      <c r="S2" s="27" t="n"/>
      <c r="T2" s="26" t="inlineStr">
        <is>
          <t>Forecast W8</t>
        </is>
      </c>
      <c r="U2" s="27" t="n"/>
    </row>
    <row r="3" ht="15" customHeight="1" thickBot="1">
      <c r="B3" s="14" t="inlineStr">
        <is>
          <t>Postes</t>
        </is>
      </c>
      <c r="C3" s="15" t="inlineStr">
        <is>
          <t>Tonnes</t>
        </is>
      </c>
      <c r="D3" s="16" t="inlineStr">
        <is>
          <t>Postes</t>
        </is>
      </c>
      <c r="E3" s="17" t="inlineStr">
        <is>
          <t>Tonnes</t>
        </is>
      </c>
      <c r="F3" s="18" t="inlineStr">
        <is>
          <t>Postes</t>
        </is>
      </c>
      <c r="G3" s="19" t="inlineStr">
        <is>
          <t>Tonnes</t>
        </is>
      </c>
      <c r="H3" s="18" t="inlineStr">
        <is>
          <t>Postes</t>
        </is>
      </c>
      <c r="I3" s="19" t="inlineStr">
        <is>
          <t>Tonnes</t>
        </is>
      </c>
      <c r="J3" s="18" t="inlineStr">
        <is>
          <t>Postes</t>
        </is>
      </c>
      <c r="K3" s="19" t="inlineStr">
        <is>
          <t>Tonnes</t>
        </is>
      </c>
      <c r="L3" s="18" t="inlineStr">
        <is>
          <t>Postes</t>
        </is>
      </c>
      <c r="M3" s="19" t="inlineStr">
        <is>
          <t>Tonnes</t>
        </is>
      </c>
      <c r="N3" s="18" t="inlineStr">
        <is>
          <t>Postes</t>
        </is>
      </c>
      <c r="O3" s="19" t="inlineStr">
        <is>
          <t>Tonnes</t>
        </is>
      </c>
      <c r="P3" s="18" t="inlineStr">
        <is>
          <t>Postes</t>
        </is>
      </c>
      <c r="Q3" s="19" t="inlineStr">
        <is>
          <t>Tonnes</t>
        </is>
      </c>
      <c r="R3" s="18" t="inlineStr">
        <is>
          <t>Postes</t>
        </is>
      </c>
      <c r="S3" s="19" t="inlineStr">
        <is>
          <t>Tonnes</t>
        </is>
      </c>
      <c r="T3" s="18" t="inlineStr">
        <is>
          <t>Postes</t>
        </is>
      </c>
      <c r="U3" s="19" t="inlineStr">
        <is>
          <t>Tonnes</t>
        </is>
      </c>
    </row>
    <row r="4" customFormat="1" s="8">
      <c r="A4" s="11" t="inlineStr">
        <is>
          <t>L1</t>
        </is>
      </c>
      <c r="B4" s="20" t="n">
        <v>41.33</v>
      </c>
      <c r="C4" s="21" t="n">
        <v>7595.14</v>
      </c>
      <c r="D4" s="20" t="n">
        <v>2.67</v>
      </c>
      <c r="E4" s="21" t="n">
        <v>109.78</v>
      </c>
      <c r="F4" s="20" t="n">
        <v>6.59</v>
      </c>
      <c r="G4" s="21" t="n">
        <v>333.02</v>
      </c>
      <c r="H4" s="20" t="n">
        <v>8.27</v>
      </c>
      <c r="I4" s="21" t="n">
        <v>394.8</v>
      </c>
      <c r="J4" s="20" t="n">
        <v>3.06</v>
      </c>
      <c r="K4" s="21" t="n">
        <v>192.34</v>
      </c>
      <c r="L4" s="20" t="n">
        <v>3.8</v>
      </c>
      <c r="M4" s="21" t="n">
        <v>216.08</v>
      </c>
      <c r="N4" s="20" t="n">
        <v>4.55</v>
      </c>
      <c r="O4" s="21" t="n">
        <v>280.6</v>
      </c>
      <c r="P4" s="20" t="n">
        <v>6.95</v>
      </c>
      <c r="Q4" s="21" t="n">
        <v>327.68</v>
      </c>
      <c r="R4" s="20" t="n">
        <v>3.37</v>
      </c>
      <c r="S4" s="21" t="n">
        <v>172.08</v>
      </c>
      <c r="T4" s="20" t="n">
        <v>4.63</v>
      </c>
      <c r="U4" s="21" t="n">
        <v>286.59</v>
      </c>
      <c r="V4" s="1" t="n">
        <v>254.3</v>
      </c>
    </row>
    <row r="5">
      <c r="A5" s="5" t="inlineStr">
        <is>
          <t>Série</t>
        </is>
      </c>
      <c r="B5" s="22" t="n">
        <v>38.03</v>
      </c>
      <c r="C5" s="23" t="n">
        <v>7491.95</v>
      </c>
      <c r="D5" s="22" t="n">
        <v>2.11</v>
      </c>
      <c r="E5" s="23" t="n">
        <v>92</v>
      </c>
      <c r="F5" s="22" t="n">
        <v>4.29</v>
      </c>
      <c r="G5" s="23" t="n">
        <v>261.21</v>
      </c>
      <c r="H5" s="22" t="n">
        <v>8.25</v>
      </c>
      <c r="I5" s="23" t="n">
        <v>394.12</v>
      </c>
      <c r="J5" s="22" t="n">
        <v>3</v>
      </c>
      <c r="K5" s="23" t="n">
        <v>190.33</v>
      </c>
      <c r="L5" s="22" t="n">
        <v>3.8</v>
      </c>
      <c r="M5" s="23" t="n">
        <v>216.08</v>
      </c>
      <c r="N5" s="22" t="n">
        <v>4.55</v>
      </c>
      <c r="O5" s="23" t="n">
        <v>280.6</v>
      </c>
      <c r="P5" s="22" t="n">
        <v>5.91</v>
      </c>
      <c r="Q5" s="23" t="n">
        <v>295.4</v>
      </c>
      <c r="R5" s="22" t="n">
        <v>3.37</v>
      </c>
      <c r="S5" s="23" t="n">
        <v>172.08</v>
      </c>
      <c r="T5" s="22" t="n">
        <v>3.59</v>
      </c>
      <c r="U5" s="23" t="n">
        <v>254.3</v>
      </c>
      <c r="V5" t="n">
        <v>254.3</v>
      </c>
    </row>
    <row r="6">
      <c r="A6" s="5" t="inlineStr">
        <is>
          <t>Proto</t>
        </is>
      </c>
      <c r="B6" s="22" t="n">
        <v>3.3</v>
      </c>
      <c r="C6" s="23" t="n">
        <v>103.19</v>
      </c>
      <c r="D6" s="22" t="n">
        <v>0.5600000000000001</v>
      </c>
      <c r="E6" s="23" t="n">
        <v>17.78</v>
      </c>
      <c r="F6" s="22" t="n">
        <v>2.3</v>
      </c>
      <c r="G6" s="23" t="n">
        <v>71.8</v>
      </c>
      <c r="H6" s="22" t="n">
        <v>0.02</v>
      </c>
      <c r="I6" s="23" t="n">
        <v>0.68</v>
      </c>
      <c r="J6" s="22" t="n">
        <v>0.06</v>
      </c>
      <c r="K6" s="23" t="n">
        <v>2.01</v>
      </c>
      <c r="L6" s="22" t="n">
        <v>0</v>
      </c>
      <c r="M6" s="23" t="n">
        <v>0</v>
      </c>
      <c r="N6" s="22" t="n">
        <v>0</v>
      </c>
      <c r="O6" s="23" t="n">
        <v>0</v>
      </c>
      <c r="P6" s="22" t="n">
        <v>1.04</v>
      </c>
      <c r="Q6" s="23" t="n">
        <v>32.28</v>
      </c>
      <c r="R6" s="22" t="n">
        <v>0</v>
      </c>
      <c r="S6" s="23" t="n">
        <v>0</v>
      </c>
      <c r="T6" s="22" t="n">
        <v>1.04</v>
      </c>
      <c r="U6" s="23" t="n">
        <v>32.28</v>
      </c>
      <c r="V6" t="n">
        <v>32.28</v>
      </c>
    </row>
    <row r="7" customFormat="1" s="8">
      <c r="A7" s="12" t="inlineStr">
        <is>
          <t>LAS1</t>
        </is>
      </c>
      <c r="B7" s="24" t="n">
        <v>61.16</v>
      </c>
      <c r="C7" s="25" t="n">
        <v>178.38</v>
      </c>
      <c r="D7" s="24" t="n">
        <v>7.58</v>
      </c>
      <c r="E7" s="25" t="n">
        <v>23.45</v>
      </c>
      <c r="F7" s="24" t="n">
        <v>0</v>
      </c>
      <c r="G7" s="25" t="n">
        <v>0</v>
      </c>
      <c r="H7" s="24" t="n">
        <v>5</v>
      </c>
      <c r="I7" s="25" t="n">
        <v>31.88</v>
      </c>
      <c r="J7" s="24" t="n">
        <v>0</v>
      </c>
      <c r="K7" s="25" t="n">
        <v>0</v>
      </c>
      <c r="L7" s="24" t="n">
        <v>0.79</v>
      </c>
      <c r="M7" s="25" t="n">
        <v>2.73</v>
      </c>
      <c r="N7" s="24" t="n">
        <v>0</v>
      </c>
      <c r="O7" s="25" t="n">
        <v>0</v>
      </c>
      <c r="P7" s="24" t="n">
        <v>2.47</v>
      </c>
      <c r="Q7" s="25" t="n">
        <v>5.66</v>
      </c>
      <c r="R7" s="24" t="n">
        <v>0.79</v>
      </c>
      <c r="S7" s="25" t="n">
        <v>2.73</v>
      </c>
      <c r="T7" s="24" t="n">
        <v>0</v>
      </c>
      <c r="U7" s="25" t="n">
        <v>0</v>
      </c>
      <c r="V7" s="1" t="n">
        <v>32.28</v>
      </c>
    </row>
    <row r="8">
      <c r="A8" s="5" t="inlineStr">
        <is>
          <t>Série</t>
        </is>
      </c>
      <c r="B8" s="22" t="n">
        <v>0.4</v>
      </c>
      <c r="C8" s="23" t="n">
        <v>0.62</v>
      </c>
      <c r="D8" s="22" t="n">
        <v>0.5600000000000001</v>
      </c>
      <c r="E8" s="23" t="n">
        <v>2.95</v>
      </c>
      <c r="F8" s="22" t="n">
        <v>0</v>
      </c>
      <c r="G8" s="23" t="n">
        <v>0</v>
      </c>
      <c r="H8" s="22" t="n">
        <v>5</v>
      </c>
      <c r="I8" s="23" t="n">
        <v>31.88</v>
      </c>
      <c r="J8" s="22" t="n">
        <v>0</v>
      </c>
      <c r="K8" s="23" t="n">
        <v>0</v>
      </c>
      <c r="L8" s="22" t="n">
        <v>0.79</v>
      </c>
      <c r="M8" s="23" t="n">
        <v>2.73</v>
      </c>
      <c r="N8" s="22" t="n">
        <v>0</v>
      </c>
      <c r="O8" s="23" t="n">
        <v>0</v>
      </c>
      <c r="P8" s="22" t="n">
        <v>2.47</v>
      </c>
      <c r="Q8" s="23" t="n">
        <v>5.66</v>
      </c>
      <c r="R8" s="22" t="n">
        <v>0.79</v>
      </c>
      <c r="S8" s="23" t="n">
        <v>2.73</v>
      </c>
      <c r="T8" s="22" t="n">
        <v>0</v>
      </c>
      <c r="U8" s="23" t="n">
        <v>0</v>
      </c>
      <c r="V8" t="n">
        <v>0</v>
      </c>
    </row>
    <row r="9">
      <c r="A9" s="5" t="inlineStr">
        <is>
          <t>Proto</t>
        </is>
      </c>
      <c r="B9" s="22" t="n">
        <v>60.76</v>
      </c>
      <c r="C9" s="23" t="n">
        <v>177.76</v>
      </c>
      <c r="D9" s="22" t="n">
        <v>7.02</v>
      </c>
      <c r="E9" s="23" t="n">
        <v>20.51</v>
      </c>
      <c r="F9" s="22" t="n">
        <v>0</v>
      </c>
      <c r="G9" s="23" t="n">
        <v>0</v>
      </c>
      <c r="H9" s="22" t="n">
        <v>0</v>
      </c>
      <c r="I9" s="23" t="n">
        <v>0</v>
      </c>
      <c r="J9" s="22" t="n">
        <v>0</v>
      </c>
      <c r="K9" s="23" t="n">
        <v>0</v>
      </c>
      <c r="L9" s="22" t="n">
        <v>0</v>
      </c>
      <c r="M9" s="23" t="n">
        <v>0</v>
      </c>
      <c r="N9" s="22" t="n">
        <v>0</v>
      </c>
      <c r="O9" s="23" t="n">
        <v>0</v>
      </c>
      <c r="P9" s="22" t="n">
        <v>0</v>
      </c>
      <c r="Q9" s="23" t="n">
        <v>0</v>
      </c>
      <c r="R9" s="22" t="n">
        <v>0</v>
      </c>
      <c r="S9" s="23" t="n">
        <v>0</v>
      </c>
      <c r="T9" s="22" t="n">
        <v>0</v>
      </c>
      <c r="U9" s="23" t="n">
        <v>0</v>
      </c>
      <c r="V9" t="n">
        <v>0</v>
      </c>
    </row>
    <row r="10" customFormat="1" s="8">
      <c r="A10" s="12" t="inlineStr">
        <is>
          <t>P3</t>
        </is>
      </c>
      <c r="B10" s="24" t="n">
        <v>3.34</v>
      </c>
      <c r="C10" s="25" t="n">
        <v>66.09999999999999</v>
      </c>
      <c r="D10" s="24" t="n">
        <v>8.24</v>
      </c>
      <c r="E10" s="25" t="n">
        <v>132.98</v>
      </c>
      <c r="F10" s="24" t="n">
        <v>4.49</v>
      </c>
      <c r="G10" s="25" t="n">
        <v>62.95</v>
      </c>
      <c r="H10" s="24" t="n">
        <v>12.58</v>
      </c>
      <c r="I10" s="25" t="n">
        <v>159.36</v>
      </c>
      <c r="J10" s="24" t="n">
        <v>8.31</v>
      </c>
      <c r="K10" s="25" t="n">
        <v>108.55</v>
      </c>
      <c r="L10" s="24" t="n">
        <v>8.31</v>
      </c>
      <c r="M10" s="25" t="n">
        <v>108.55</v>
      </c>
      <c r="N10" s="24" t="n">
        <v>11.16</v>
      </c>
      <c r="O10" s="25" t="n">
        <v>167.71</v>
      </c>
      <c r="P10" s="24" t="n">
        <v>2.74</v>
      </c>
      <c r="Q10" s="25" t="n">
        <v>30.83</v>
      </c>
      <c r="R10" s="24" t="n">
        <v>1.1</v>
      </c>
      <c r="S10" s="25" t="n">
        <v>23.86</v>
      </c>
      <c r="T10" s="24" t="n">
        <v>2.42</v>
      </c>
      <c r="U10" s="25" t="n">
        <v>30.27</v>
      </c>
      <c r="V10" s="1" t="n">
        <v>0</v>
      </c>
    </row>
    <row r="11">
      <c r="A11" s="5" t="inlineStr">
        <is>
          <t>Série</t>
        </is>
      </c>
      <c r="B11" s="22" t="n">
        <v>1.22</v>
      </c>
      <c r="C11" s="23" t="n">
        <v>30.29</v>
      </c>
      <c r="D11" s="22" t="n">
        <v>8.210000000000001</v>
      </c>
      <c r="E11" s="23" t="n">
        <v>132.48</v>
      </c>
      <c r="F11" s="22" t="n">
        <v>4.46</v>
      </c>
      <c r="G11" s="23" t="n">
        <v>62.37</v>
      </c>
      <c r="H11" s="22" t="n">
        <v>12.55</v>
      </c>
      <c r="I11" s="23" t="n">
        <v>158.91</v>
      </c>
      <c r="J11" s="22" t="n">
        <v>8.31</v>
      </c>
      <c r="K11" s="23" t="n">
        <v>108.55</v>
      </c>
      <c r="L11" s="22" t="n">
        <v>8.31</v>
      </c>
      <c r="M11" s="23" t="n">
        <v>108.55</v>
      </c>
      <c r="N11" s="22" t="n">
        <v>11.16</v>
      </c>
      <c r="O11" s="23" t="n">
        <v>167.71</v>
      </c>
      <c r="P11" s="22" t="n">
        <v>2.74</v>
      </c>
      <c r="Q11" s="23" t="n">
        <v>30.83</v>
      </c>
      <c r="R11" s="22" t="n">
        <v>1.1</v>
      </c>
      <c r="S11" s="23" t="n">
        <v>23.86</v>
      </c>
      <c r="T11" s="22" t="n">
        <v>2.42</v>
      </c>
      <c r="U11" s="23" t="n">
        <v>30.27</v>
      </c>
      <c r="V11" t="n">
        <v>30.27</v>
      </c>
    </row>
    <row r="12">
      <c r="A12" s="5" t="inlineStr">
        <is>
          <t>Proto</t>
        </is>
      </c>
      <c r="B12" s="22" t="n">
        <v>2.12</v>
      </c>
      <c r="C12" s="23" t="n">
        <v>35.8</v>
      </c>
      <c r="D12" s="22" t="n">
        <v>0.03</v>
      </c>
      <c r="E12" s="23" t="n">
        <v>0.5</v>
      </c>
      <c r="F12" s="22" t="n">
        <v>0.03</v>
      </c>
      <c r="G12" s="23" t="n">
        <v>0.58</v>
      </c>
      <c r="H12" s="22" t="n">
        <v>0.03</v>
      </c>
      <c r="I12" s="23" t="n">
        <v>0.46</v>
      </c>
      <c r="J12" s="22" t="n">
        <v>0</v>
      </c>
      <c r="K12" s="23" t="n">
        <v>0</v>
      </c>
      <c r="L12" s="22" t="n">
        <v>0</v>
      </c>
      <c r="M12" s="23" t="n">
        <v>0</v>
      </c>
      <c r="N12" s="22" t="n">
        <v>0</v>
      </c>
      <c r="O12" s="23" t="n">
        <v>0</v>
      </c>
      <c r="P12" s="22" t="n">
        <v>0</v>
      </c>
      <c r="Q12" s="23" t="n">
        <v>0</v>
      </c>
      <c r="R12" s="22" t="n">
        <v>0</v>
      </c>
      <c r="S12" s="23" t="n">
        <v>0</v>
      </c>
      <c r="T12" s="22" t="n">
        <v>0</v>
      </c>
      <c r="U12" s="23" t="n">
        <v>0</v>
      </c>
      <c r="V12" t="n">
        <v>0</v>
      </c>
    </row>
    <row r="13" customFormat="1" s="8">
      <c r="A13" s="12" t="inlineStr">
        <is>
          <t>R1</t>
        </is>
      </c>
      <c r="B13" s="24" t="n">
        <v>9.880000000000001</v>
      </c>
      <c r="C13" s="25" t="n">
        <v>1286.29</v>
      </c>
      <c r="D13" s="24" t="n">
        <v>2.13</v>
      </c>
      <c r="E13" s="25" t="n">
        <v>326.64</v>
      </c>
      <c r="F13" s="24" t="n">
        <v>2.37</v>
      </c>
      <c r="G13" s="25" t="n">
        <v>401.69</v>
      </c>
      <c r="H13" s="24" t="n">
        <v>6.48</v>
      </c>
      <c r="I13" s="25" t="n">
        <v>936.37</v>
      </c>
      <c r="J13" s="24" t="n">
        <v>2.6</v>
      </c>
      <c r="K13" s="25" t="n">
        <v>409.51</v>
      </c>
      <c r="L13" s="24" t="n">
        <v>3.71</v>
      </c>
      <c r="M13" s="25" t="n">
        <v>586.4400000000001</v>
      </c>
      <c r="N13" s="24" t="n">
        <v>2.1</v>
      </c>
      <c r="O13" s="25" t="n">
        <v>324.42</v>
      </c>
      <c r="P13" s="24" t="n">
        <v>5.82</v>
      </c>
      <c r="Q13" s="25" t="n">
        <v>892.04</v>
      </c>
      <c r="R13" s="24" t="n">
        <v>2.67</v>
      </c>
      <c r="S13" s="25" t="n">
        <v>399.03</v>
      </c>
      <c r="T13" s="24" t="n">
        <v>2.6</v>
      </c>
      <c r="U13" s="25" t="n">
        <v>410.28</v>
      </c>
      <c r="V13" s="1" t="n">
        <v>0</v>
      </c>
    </row>
    <row r="14">
      <c r="A14" s="5" t="inlineStr">
        <is>
          <t>Série</t>
        </is>
      </c>
      <c r="B14" s="22" t="n">
        <v>7.35</v>
      </c>
      <c r="C14" s="23" t="n">
        <v>1024.21</v>
      </c>
      <c r="D14" s="22" t="n">
        <v>2.09</v>
      </c>
      <c r="E14" s="23" t="n">
        <v>322.14</v>
      </c>
      <c r="F14" s="22" t="n">
        <v>2.27</v>
      </c>
      <c r="G14" s="23" t="n">
        <v>391.69</v>
      </c>
      <c r="H14" s="22" t="n">
        <v>6.17</v>
      </c>
      <c r="I14" s="23" t="n">
        <v>905.37</v>
      </c>
      <c r="J14" s="22" t="n">
        <v>2.54</v>
      </c>
      <c r="K14" s="23" t="n">
        <v>403.51</v>
      </c>
      <c r="L14" s="22" t="n">
        <v>3.15</v>
      </c>
      <c r="M14" s="23" t="n">
        <v>527.4400000000001</v>
      </c>
      <c r="N14" s="22" t="n">
        <v>2.04</v>
      </c>
      <c r="O14" s="23" t="n">
        <v>318.02</v>
      </c>
      <c r="P14" s="22" t="n">
        <v>5.82</v>
      </c>
      <c r="Q14" s="23" t="n">
        <v>892.04</v>
      </c>
      <c r="R14" s="22" t="n">
        <v>2.67</v>
      </c>
      <c r="S14" s="23" t="n">
        <v>399.03</v>
      </c>
      <c r="T14" s="22" t="n">
        <v>2.5</v>
      </c>
      <c r="U14" s="23" t="n">
        <v>400.28</v>
      </c>
      <c r="V14" t="n">
        <v>400.28</v>
      </c>
    </row>
    <row r="15">
      <c r="A15" s="5" t="inlineStr">
        <is>
          <t>Proto</t>
        </is>
      </c>
      <c r="B15" s="22" t="n">
        <v>2.53</v>
      </c>
      <c r="C15" s="23" t="n">
        <v>262.08</v>
      </c>
      <c r="D15" s="22" t="n">
        <v>0.04</v>
      </c>
      <c r="E15" s="23" t="n">
        <v>4.5</v>
      </c>
      <c r="F15" s="22" t="n">
        <v>0.1</v>
      </c>
      <c r="G15" s="23" t="n">
        <v>10</v>
      </c>
      <c r="H15" s="22" t="n">
        <v>0.31</v>
      </c>
      <c r="I15" s="23" t="n">
        <v>31</v>
      </c>
      <c r="J15" s="22" t="n">
        <v>0.06</v>
      </c>
      <c r="K15" s="23" t="n">
        <v>6</v>
      </c>
      <c r="L15" s="22" t="n">
        <v>0.5600000000000001</v>
      </c>
      <c r="M15" s="23" t="n">
        <v>59</v>
      </c>
      <c r="N15" s="22" t="n">
        <v>0.06</v>
      </c>
      <c r="O15" s="23" t="n">
        <v>6.4</v>
      </c>
      <c r="P15" s="22" t="n">
        <v>0</v>
      </c>
      <c r="Q15" s="23" t="n">
        <v>0</v>
      </c>
      <c r="R15" s="22" t="n">
        <v>0</v>
      </c>
      <c r="S15" s="23" t="n">
        <v>0</v>
      </c>
      <c r="T15" s="22" t="n">
        <v>0.1</v>
      </c>
      <c r="U15" s="23" t="n">
        <v>10</v>
      </c>
      <c r="V15" t="n">
        <v>10</v>
      </c>
    </row>
    <row r="16" customFormat="1" s="8">
      <c r="A16" s="12" t="inlineStr">
        <is>
          <t>R6</t>
        </is>
      </c>
      <c r="B16" s="24" t="n">
        <v>33.15</v>
      </c>
      <c r="C16" s="25" t="n">
        <v>8774.700000000001</v>
      </c>
      <c r="D16" s="24" t="n">
        <v>2.43</v>
      </c>
      <c r="E16" s="25" t="n">
        <v>523.03</v>
      </c>
      <c r="F16" s="24" t="n">
        <v>2.81</v>
      </c>
      <c r="G16" s="25" t="n">
        <v>417.94</v>
      </c>
      <c r="H16" s="24" t="n">
        <v>2.47</v>
      </c>
      <c r="I16" s="25" t="n">
        <v>486.75</v>
      </c>
      <c r="J16" s="24" t="n">
        <v>2.67</v>
      </c>
      <c r="K16" s="25" t="n">
        <v>608.55</v>
      </c>
      <c r="L16" s="24" t="n">
        <v>1.32</v>
      </c>
      <c r="M16" s="25" t="n">
        <v>307.7</v>
      </c>
      <c r="N16" s="24" t="n">
        <v>2.44</v>
      </c>
      <c r="O16" s="25" t="n">
        <v>513.63</v>
      </c>
      <c r="P16" s="24" t="n">
        <v>1.91</v>
      </c>
      <c r="Q16" s="25" t="n">
        <v>383.92</v>
      </c>
      <c r="R16" s="24" t="n">
        <v>1.7</v>
      </c>
      <c r="S16" s="25" t="n">
        <v>322.07</v>
      </c>
      <c r="T16" s="24" t="n">
        <v>2.34</v>
      </c>
      <c r="U16" s="25" t="n">
        <v>335.57</v>
      </c>
      <c r="V16" s="1" t="n">
        <v>10</v>
      </c>
    </row>
    <row r="17">
      <c r="A17" s="5" t="inlineStr">
        <is>
          <t>Série</t>
        </is>
      </c>
      <c r="B17" s="22" t="n">
        <v>33.14</v>
      </c>
      <c r="C17" s="23" t="n">
        <v>8774.01</v>
      </c>
      <c r="D17" s="22" t="n">
        <v>2.37</v>
      </c>
      <c r="E17" s="23" t="n">
        <v>516.03</v>
      </c>
      <c r="F17" s="22" t="n">
        <v>2.81</v>
      </c>
      <c r="G17" s="23" t="n">
        <v>417.94</v>
      </c>
      <c r="H17" s="22" t="n">
        <v>2.47</v>
      </c>
      <c r="I17" s="23" t="n">
        <v>486.75</v>
      </c>
      <c r="J17" s="22" t="n">
        <v>2.67</v>
      </c>
      <c r="K17" s="23" t="n">
        <v>608.55</v>
      </c>
      <c r="L17" s="22" t="n">
        <v>1.32</v>
      </c>
      <c r="M17" s="23" t="n">
        <v>307.7</v>
      </c>
      <c r="N17" s="22" t="n">
        <v>2.44</v>
      </c>
      <c r="O17" s="23" t="n">
        <v>513.63</v>
      </c>
      <c r="P17" s="22" t="n">
        <v>1.91</v>
      </c>
      <c r="Q17" s="23" t="n">
        <v>383.92</v>
      </c>
      <c r="R17" s="22" t="n">
        <v>1.7</v>
      </c>
      <c r="S17" s="23" t="n">
        <v>322.07</v>
      </c>
      <c r="T17" s="22" t="n">
        <v>2.34</v>
      </c>
      <c r="U17" s="23" t="n">
        <v>335.57</v>
      </c>
      <c r="V17" t="n">
        <v>335.57</v>
      </c>
    </row>
    <row r="18" ht="15" customHeight="1" thickBot="1">
      <c r="A18" s="5" t="inlineStr">
        <is>
          <t>Proto</t>
        </is>
      </c>
      <c r="B18" s="22" t="n">
        <v>0.01</v>
      </c>
      <c r="C18" s="23" t="n">
        <v>0.6899999999999999</v>
      </c>
      <c r="D18" s="22" t="n">
        <v>0.06</v>
      </c>
      <c r="E18" s="23" t="n">
        <v>7</v>
      </c>
      <c r="F18" s="22" t="n">
        <v>0</v>
      </c>
      <c r="G18" s="23" t="n">
        <v>0</v>
      </c>
      <c r="H18" s="22" t="n">
        <v>0</v>
      </c>
      <c r="I18" s="23" t="n">
        <v>0</v>
      </c>
      <c r="J18" s="22" t="n">
        <v>0</v>
      </c>
      <c r="K18" s="23" t="n">
        <v>0</v>
      </c>
      <c r="L18" s="22" t="n">
        <v>0</v>
      </c>
      <c r="M18" s="23" t="n">
        <v>0</v>
      </c>
      <c r="N18" s="22" t="n">
        <v>0</v>
      </c>
      <c r="O18" s="23" t="n">
        <v>0</v>
      </c>
      <c r="P18" s="22" t="n">
        <v>0</v>
      </c>
      <c r="Q18" s="23" t="n">
        <v>0</v>
      </c>
      <c r="R18" s="22" t="n">
        <v>0</v>
      </c>
      <c r="S18" s="23" t="n">
        <v>0</v>
      </c>
      <c r="T18" s="22" t="n">
        <v>0</v>
      </c>
      <c r="U18" s="23" t="n">
        <v>0</v>
      </c>
      <c r="V18" t="n">
        <v>0</v>
      </c>
    </row>
    <row r="19" ht="15" customFormat="1" customHeight="1" s="10" thickBot="1">
      <c r="A19" s="13" t="inlineStr">
        <is>
          <t>Total</t>
        </is>
      </c>
      <c r="B19" s="14" t="n">
        <v>148.86</v>
      </c>
      <c r="C19" s="15" t="n">
        <v>17900.6</v>
      </c>
      <c r="D19" s="14" t="n">
        <v>23.05</v>
      </c>
      <c r="E19" s="15" t="n">
        <v>1115.88</v>
      </c>
      <c r="F19" s="14" t="n">
        <v>16.26</v>
      </c>
      <c r="G19" s="15" t="n">
        <v>1215.61</v>
      </c>
      <c r="H19" s="14" t="n">
        <v>34.8</v>
      </c>
      <c r="I19" s="15" t="n">
        <v>2009.16</v>
      </c>
      <c r="J19" s="14" t="n">
        <v>16.64</v>
      </c>
      <c r="K19" s="15" t="n">
        <v>1318.96</v>
      </c>
      <c r="L19" s="14" t="n">
        <v>17.93</v>
      </c>
      <c r="M19" s="15" t="n">
        <v>1221.5</v>
      </c>
      <c r="N19" s="14" t="n">
        <v>20.25</v>
      </c>
      <c r="O19" s="15" t="n">
        <v>1286.37</v>
      </c>
      <c r="P19" s="14" t="n">
        <v>19.89</v>
      </c>
      <c r="Q19" s="15" t="n">
        <v>1640.13</v>
      </c>
      <c r="R19" s="14" t="n">
        <v>9.630000000000001</v>
      </c>
      <c r="S19" s="15" t="n">
        <v>919.77</v>
      </c>
      <c r="T19" s="14" t="n">
        <v>11.99</v>
      </c>
      <c r="U19" s="15" t="n">
        <v>1062.72</v>
      </c>
      <c r="V19" t="n">
        <v>0</v>
      </c>
    </row>
    <row r="20" ht="15" customHeight="1" thickBot="1"/>
    <row r="21" ht="15" customHeight="1" thickBot="1">
      <c r="F21" s="28" t="inlineStr">
        <is>
          <t>Avance/Retard (semaine)</t>
        </is>
      </c>
      <c r="G21" s="27" t="n"/>
    </row>
    <row r="22" ht="15" customHeight="1" thickBot="1">
      <c r="D22" s="31" t="inlineStr">
        <is>
          <t>Programmation Semaine :</t>
        </is>
      </c>
      <c r="E22" s="27" t="n"/>
      <c r="F22" s="2" t="inlineStr">
        <is>
          <t>Postes</t>
        </is>
      </c>
      <c r="G22" s="2" t="inlineStr">
        <is>
          <t>Tonnes</t>
        </is>
      </c>
    </row>
    <row r="23">
      <c r="D23" s="3" t="inlineStr">
        <is>
          <t>L1</t>
        </is>
      </c>
      <c r="E23" s="4" t="n">
        <v>3</v>
      </c>
      <c r="F23" s="5">
        <f>E23-D4</f>
        <v/>
      </c>
      <c r="G23" s="5">
        <f>F23/D4*E4</f>
        <v/>
      </c>
    </row>
    <row r="24">
      <c r="D24" s="3" t="inlineStr">
        <is>
          <t>LAS1,</t>
        </is>
      </c>
      <c r="E24" s="4" t="n">
        <v>8</v>
      </c>
      <c r="F24" s="5">
        <f>E24-D7</f>
        <v/>
      </c>
      <c r="G24" s="5">
        <f>IFERROR(F24/D7*E7,0)</f>
        <v/>
      </c>
    </row>
    <row r="25">
      <c r="D25" s="3" t="inlineStr">
        <is>
          <t>P3</t>
        </is>
      </c>
      <c r="E25" s="4" t="n">
        <v>9</v>
      </c>
      <c r="F25" s="5">
        <f>E25-D10</f>
        <v/>
      </c>
      <c r="G25" s="5">
        <f>F25/D10*E10</f>
        <v/>
      </c>
    </row>
    <row r="26">
      <c r="D26" s="3" t="inlineStr">
        <is>
          <t>R1</t>
        </is>
      </c>
      <c r="E26" s="4" t="n">
        <v>3</v>
      </c>
      <c r="F26" s="5">
        <f>E26-D13</f>
        <v/>
      </c>
      <c r="G26" s="5">
        <f>F26/D13*E13</f>
        <v/>
      </c>
    </row>
    <row r="27" ht="15" customHeight="1" thickBot="1">
      <c r="D27" s="6" t="inlineStr">
        <is>
          <t>R6</t>
        </is>
      </c>
      <c r="E27" s="7" t="n">
        <v>3</v>
      </c>
      <c r="F27" s="9">
        <f>E27-D16</f>
        <v/>
      </c>
      <c r="G27" s="9">
        <f>F27/D16*E16</f>
        <v/>
      </c>
    </row>
  </sheetData>
  <mergeCells count="12">
    <mergeCell ref="L2:M2"/>
    <mergeCell ref="F21:G21"/>
    <mergeCell ref="F2:G2"/>
    <mergeCell ref="B2:C2"/>
    <mergeCell ref="H2:I2"/>
    <mergeCell ref="T2:U2"/>
    <mergeCell ref="D2:E2"/>
    <mergeCell ref="J2:K2"/>
    <mergeCell ref="N2:O2"/>
    <mergeCell ref="R2:S2"/>
    <mergeCell ref="P2:Q2"/>
    <mergeCell ref="D22:E22"/>
  </mergeCells>
  <conditionalFormatting sqref="F23:G27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2026-01-14T15:25:45Z</dcterms:created>
  <dcterms:modified xmlns:dcterms="http://purl.org/dc/terms/" xmlns:xsi="http://www.w3.org/2001/XMLSchema-instance" xsi:type="dcterms:W3CDTF">2026-02-24T07:26:44Z</dcterms:modified>
  <cp:lastModifiedBy>Rafael Dye</cp:lastModifiedBy>
</cp:coreProperties>
</file>